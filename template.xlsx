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co" sheetId="1" state="visible" r:id="rId3"/>
    <sheet name="Summary" sheetId="2" state="visible" r:id="rId4"/>
    <sheet name="Masters" sheetId="3" state="visible" r:id="rId5"/>
  </sheets>
  <definedNames>
    <definedName function="false" hidden="true" localSheetId="0" name="_xlnm._FilterDatabase" vbProcedure="false">Reco!$A$11:$U$105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<sst xmlns="http://schemas.openxmlformats.org/spreadsheetml/2006/main" count="275" uniqueCount="123">
  <si>
    <t xml:space="preserve">PAVAN JAIN S AND CO |CHARTERED ACCOUNTANTS</t>
  </si>
  <si>
    <t xml:space="preserve">AIS/TIS/26AS/BOOKS COMPARATIVE TOOL</t>
  </si>
  <si>
    <t xml:space="preserve">NAME OF THE CLIENT</t>
  </si>
  <si>
    <t xml:space="preserve">SHREE KANKANII ISPAT LLP</t>
  </si>
  <si>
    <t xml:space="preserve">ASSESSMENT YEAR</t>
  </si>
  <si>
    <t xml:space="preserve">2026-27</t>
  </si>
  <si>
    <t xml:space="preserve">FINANCIAL YEAR</t>
  </si>
  <si>
    <t xml:space="preserve">2025-26</t>
  </si>
  <si>
    <t xml:space="preserve">PREPARED BY</t>
  </si>
  <si>
    <t xml:space="preserve">Monish Guptha</t>
  </si>
  <si>
    <t xml:space="preserve">Nature of Transactions</t>
  </si>
  <si>
    <t xml:space="preserve">Name of Party</t>
  </si>
  <si>
    <t xml:space="preserve">26AS</t>
  </si>
  <si>
    <t xml:space="preserve">AIS</t>
  </si>
  <si>
    <t xml:space="preserve">TIS</t>
  </si>
  <si>
    <t xml:space="preserve">Books</t>
  </si>
  <si>
    <t xml:space="preserve">Difference</t>
  </si>
  <si>
    <t xml:space="preserve">Does the difference tantamounts to short declaration in Books?</t>
  </si>
  <si>
    <t xml:space="preserve">Action</t>
  </si>
  <si>
    <t xml:space="preserve">Remarks</t>
  </si>
  <si>
    <t xml:space="preserve">Gross Value</t>
  </si>
  <si>
    <t xml:space="preserve">TDS/TCS</t>
  </si>
  <si>
    <t xml:space="preserve">26AS/AIS</t>
  </si>
  <si>
    <t xml:space="preserve">26AS/TIS</t>
  </si>
  <si>
    <t xml:space="preserve">AIS/TIS</t>
  </si>
  <si>
    <t xml:space="preserve">Books/AIS</t>
  </si>
  <si>
    <t xml:space="preserve">94A - Interest Receipts</t>
  </si>
  <si>
    <t xml:space="preserve">SHRI PADMANABH ISPAT PRIVATE LIMITED</t>
  </si>
  <si>
    <t xml:space="preserve">NA</t>
  </si>
  <si>
    <t xml:space="preserve">Deductor reversed this entry in 26AS (Section 194A, remark code 'B') - net effect Nil in 26AS. AIS still shows original 6,12,452 / TDS 61,245 marked 'Inactive'. TIS confirms Nil (0) for this head. Recommend confirming with deductor whether interest was actually paid before relying on the AIS figure.</t>
  </si>
  <si>
    <t xml:space="preserve">94C - Contract Receipts</t>
  </si>
  <si>
    <t xml:space="preserve">SHRI TIRUPATI BALAJI TRADE LINK</t>
  </si>
  <si>
    <t xml:space="preserve">PRAKASH SPONGE IRON AND POWER PRIVATE LIMITED</t>
  </si>
  <si>
    <t xml:space="preserve">SUGNA SPONGE &amp; POWER PRIVATE LIMITED</t>
  </si>
  <si>
    <t xml:space="preserve">94H - Commission Receipts</t>
  </si>
  <si>
    <t xml:space="preserve">MINERA STEEL AND POWER PRIVATE LIMITED</t>
  </si>
  <si>
    <t xml:space="preserve">JANKI CORP LIMITED</t>
  </si>
  <si>
    <t xml:space="preserve">26AS 30,49,177.36 vs AIS 30,49,178 - rounding, immaterial</t>
  </si>
  <si>
    <t xml:space="preserve">KOPPAL STEELS PRIVATE LIMITED</t>
  </si>
  <si>
    <t xml:space="preserve">THANUSH ISPAT PRIVATE LIMITED</t>
  </si>
  <si>
    <t xml:space="preserve">AJAY TIWARI</t>
  </si>
  <si>
    <t xml:space="preserve">VRKP ISPAT PRIVATE LIMITED</t>
  </si>
  <si>
    <t xml:space="preserve">RADHA METALS PRIVATE LIMITED</t>
  </si>
  <si>
    <t xml:space="preserve">SUVAN STEELS PRIVATE LIMITED</t>
  </si>
  <si>
    <t xml:space="preserve">RANGINENI STEEL PRIVATE LIMITED</t>
  </si>
  <si>
    <t xml:space="preserve">APPLE INDUSTRIES LIMITED</t>
  </si>
  <si>
    <t xml:space="preserve">194H portion only - see separate 194A row for the reversed interest entry</t>
  </si>
  <si>
    <t xml:space="preserve">MAHAMANAV ISPAT PRIVATE LIMITED</t>
  </si>
  <si>
    <t xml:space="preserve">VINAYAK STEELS LIMITED</t>
  </si>
  <si>
    <t xml:space="preserve">SRI HARI SPONGE LLP</t>
  </si>
  <si>
    <t xml:space="preserve">BABA AKHILA SAIJYOTHI INDUSTRIES PRIVATE LIMITED</t>
  </si>
  <si>
    <t xml:space="preserve">AGARWAL INDUCTION FURNACE PRIVATE LIMITED</t>
  </si>
  <si>
    <t xml:space="preserve">M S METALS AND STEELS PRIVATE LIMITED (BLRM37712D)</t>
  </si>
  <si>
    <t xml:space="preserve">VRKP INTEGRATED STEEL INDUSTRIES PRIVATE LIMITED</t>
  </si>
  <si>
    <t xml:space="preserve">HOTHUR INDUSTRIES LIMITED</t>
  </si>
  <si>
    <t xml:space="preserve">PVSR STEEL AND POWER PRIVATE LIMITED</t>
  </si>
  <si>
    <t xml:space="preserve">ANUPAM FUELS PRIVATE LIMITED</t>
  </si>
  <si>
    <t xml:space="preserve">M S METALS AND STEELS PRIVATE LIMITED (BLRM24464G)</t>
  </si>
  <si>
    <t xml:space="preserve">VRKP SPONGE AND POWER PLANT LLP</t>
  </si>
  <si>
    <t xml:space="preserve">BISHAMBER DAYAL SINGHAL</t>
  </si>
  <si>
    <t xml:space="preserve">G B R METALS PVT LTD</t>
  </si>
  <si>
    <t xml:space="preserve">MAHRISHI MINERALS</t>
  </si>
  <si>
    <t xml:space="preserve">HINDUSTHAN CALCINED METALS PRIVATE LIMITED</t>
  </si>
  <si>
    <t xml:space="preserve">M/S BIOP STEELS &amp; POWER PRIVATE LIMITED</t>
  </si>
  <si>
    <t xml:space="preserve">METACUBE BUSINESS VENTURES PRIVATE LIMITED</t>
  </si>
  <si>
    <t xml:space="preserve">SHREE LAKHDATAAR IMPEX</t>
  </si>
  <si>
    <t xml:space="preserve">RAJKUMARI SINGHAL</t>
  </si>
  <si>
    <t xml:space="preserve">MANYA ISPAT PRIVATE LIMITED</t>
  </si>
  <si>
    <t xml:space="preserve">SAIVIJAY PRAGATI STEEL UDYOG PRIVATE LIMITED</t>
  </si>
  <si>
    <t xml:space="preserve">SHREE SHYAM SPONGE &amp; POWER LIMITED</t>
  </si>
  <si>
    <t xml:space="preserve">KALIKA STEEL ALLOYS PRIVATE LIMITED</t>
  </si>
  <si>
    <t xml:space="preserve">YESHASHVI STEELS &amp; ALLOYS PVT LTD</t>
  </si>
  <si>
    <t xml:space="preserve">VATTAM STEELS LLP</t>
  </si>
  <si>
    <t xml:space="preserve">SHIKHARA STEELS PRIVATE LIMITED</t>
  </si>
  <si>
    <t xml:space="preserve">RATHI INDUSTRIAL CORPORATION PRIVATE LIMITED</t>
  </si>
  <si>
    <t xml:space="preserve">MTC STEEL ALLOYS PRIVATE LIMITED</t>
  </si>
  <si>
    <t xml:space="preserve">ANANDI MARKETING</t>
  </si>
  <si>
    <t xml:space="preserve">26AS 23,468.75 vs AIS 23,469 - rounding, immaterial</t>
  </si>
  <si>
    <t xml:space="preserve">SAI PAVAN ISPAT PRIVATE LIMITED</t>
  </si>
  <si>
    <t xml:space="preserve">DHRUVDESH METASTEEL PRIVATE LIMITED</t>
  </si>
  <si>
    <t xml:space="preserve">MARUTI ISPAT AND PIPES PRIVATE LIMITED</t>
  </si>
  <si>
    <t xml:space="preserve">M/S RADHA STEEL</t>
  </si>
  <si>
    <t xml:space="preserve">206CL - TCS Purchases</t>
  </si>
  <si>
    <t xml:space="preserve">RAAM4WHEELERS LLP (Sale of motor vehicle, Sec 206CL)</t>
  </si>
  <si>
    <t xml:space="preserve">GST Sales</t>
  </si>
  <si>
    <t xml:space="preserve">SHREE KANKANII ISPAT LLP - Sales per GSTR-3B (11 return periods, May-25 to Mar-26)</t>
  </si>
  <si>
    <t xml:space="preserve">26AS/TRACES does not carry GST data - shown as NA. AIS/TIS both confirm 2,32,20,629.</t>
  </si>
  <si>
    <t xml:space="preserve">GST Purchases</t>
  </si>
  <si>
    <t xml:space="preserve">Purchases per GSTR-1 of 32 sellers (aggregate, see AIS Part B7 for supplier-wise detail)</t>
  </si>
  <si>
    <t xml:space="preserve">26AS/TRACES does not carry GST data - shown as NA. AIS/TIS both confirm 38,32,750 in aggregate across 32 suppliers.</t>
  </si>
  <si>
    <t xml:space="preserve">AIS/TIS/26AS/BOOKS COMPARATIVE SUMMARY</t>
  </si>
  <si>
    <t xml:space="preserve">Books/TIS</t>
  </si>
  <si>
    <t xml:space="preserve">TOTAL</t>
  </si>
  <si>
    <t xml:space="preserve">2021-22</t>
  </si>
  <si>
    <t xml:space="preserve">92B - Salaries Receipts</t>
  </si>
  <si>
    <t xml:space="preserve">Yes</t>
  </si>
  <si>
    <t xml:space="preserve">2022-23</t>
  </si>
  <si>
    <t xml:space="preserve">Hitanshi</t>
  </si>
  <si>
    <t xml:space="preserve">No</t>
  </si>
  <si>
    <t xml:space="preserve">2023-24</t>
  </si>
  <si>
    <t xml:space="preserve">94JA - Technical Receipts</t>
  </si>
  <si>
    <t xml:space="preserve">Hari</t>
  </si>
  <si>
    <t xml:space="preserve">2024-25</t>
  </si>
  <si>
    <t xml:space="preserve">94JB - Professional Receipts</t>
  </si>
  <si>
    <t xml:space="preserve">Harshita</t>
  </si>
  <si>
    <t xml:space="preserve">Can't Say</t>
  </si>
  <si>
    <t xml:space="preserve">94IA - Rent Receipts (P &amp; M) </t>
  </si>
  <si>
    <t xml:space="preserve">PJS</t>
  </si>
  <si>
    <t xml:space="preserve">94IB - Rent Receipts (L &amp; B) </t>
  </si>
  <si>
    <t xml:space="preserve">Others</t>
  </si>
  <si>
    <t xml:space="preserve">Divya</t>
  </si>
  <si>
    <t xml:space="preserve">94Q - Purchases</t>
  </si>
  <si>
    <t xml:space="preserve">94L - Property Transactions</t>
  </si>
  <si>
    <t xml:space="preserve">Purchase of Securities</t>
  </si>
  <si>
    <t xml:space="preserve">Sale of Securities</t>
  </si>
  <si>
    <t xml:space="preserve">Advance Tax</t>
  </si>
  <si>
    <t xml:space="preserve">Cash Deposits</t>
  </si>
  <si>
    <t xml:space="preserve">Cash Withdrawals</t>
  </si>
  <si>
    <t xml:space="preserve">SAT</t>
  </si>
  <si>
    <t xml:space="preserve">206CJ - TCS Purchases</t>
  </si>
  <si>
    <t xml:space="preserve">206CE - TCS Purchases</t>
  </si>
  <si>
    <t xml:space="preserve">206CR-TCS Purchases</t>
  </si>
  <si>
    <t xml:space="preserve">94N - Cash Withdrawals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</si>
</sst>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(* #,##0.00_);_(* \(#,##0.00\);_(* \-??_);_(@_)"/>
    <numFmt numFmtId="166" formatCode="@"/>
    <numFmt numFmtId="167" formatCode="_ * #,##0.00_ ;_ * \-#,##0.00_ ;_ * \-??_ ;_ @_ 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theme="3"/>
      <name val="Calibri"/>
      <family val="2"/>
      <charset val="1"/>
    </font>
    <font>
      <b val="true"/>
      <sz val="12"/>
      <color rgb="FFFA7D00"/>
      <name val="Calibri"/>
      <family val="2"/>
      <charset val="1"/>
    </font>
    <font>
      <b val="true"/>
      <sz val="11"/>
      <color theme="3"/>
      <name val="Calibri"/>
      <family val="2"/>
      <charset val="1"/>
    </font>
    <font>
      <sz val="11"/>
      <color rgb="FF9C57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  <font>
      <sz val="11"/>
      <color rgb="FF0000FF"/>
      <name val="Calibri"/>
      <family val="0"/>
      <charset val="1"/>
    </font>
    <font>
      <sz val="11"/>
      <color rgb="FF333333"/>
      <name val="Segoe UI"/>
      <family val="2"/>
      <charset val="1"/>
    </font>
    <font>
      <sz val="11"/>
      <color rgb="FF333333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2F2F2"/>
      </patternFill>
    </fill>
    <fill>
      <patternFill patternType="solid">
        <fgColor theme="8" tint="0.7999"/>
        <bgColor rgb="FFF2F2F2"/>
      </patternFill>
    </fill>
    <fill>
      <patternFill patternType="solid">
        <fgColor rgb="FFF2F2F2"/>
        <bgColor rgb="FFDEEBF7"/>
      </patternFill>
    </fill>
    <fill>
      <patternFill patternType="solid">
        <fgColor rgb="FFFFEB9C"/>
        <bgColor rgb="FFFFFFCC"/>
      </patternFill>
    </fill>
    <fill>
      <patternFill patternType="solid">
        <fgColor theme="5" tint="0.5999"/>
        <bgColor rgb="FFFFC7CE"/>
      </patternFill>
    </fill>
    <fill>
      <patternFill patternType="solid">
        <fgColor rgb="FFFFC7CE"/>
        <bgColor rgb="FFF8CBAD"/>
      </patternFill>
    </fill>
    <fill>
      <patternFill patternType="solid">
        <fgColor rgb="FFC6EFCE"/>
        <bgColor rgb="FFDEEBF7"/>
      </patternFill>
    </fill>
    <fill>
      <patternFill patternType="solid">
        <fgColor theme="7" tint="0.3999"/>
        <bgColor rgb="FFFFEB9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ck">
        <color theme="4"/>
      </left>
      <right/>
      <top style="thick">
        <color theme="4"/>
      </top>
      <bottom style="thick">
        <color theme="4"/>
      </bottom>
      <diagonal/>
    </border>
    <border diagonalUp="false" diagonalDown="false">
      <left/>
      <right/>
      <top style="thick">
        <color theme="4"/>
      </top>
      <bottom style="thick">
        <color theme="4"/>
      </bottom>
      <diagonal/>
    </border>
    <border diagonalUp="false" diagonalDown="false">
      <left/>
      <right style="thick">
        <color theme="4"/>
      </right>
      <top style="thick">
        <color theme="4"/>
      </top>
      <bottom style="thick">
        <color theme="4"/>
      </bottom>
      <diagonal/>
    </border>
    <border diagonalUp="false" diagonalDown="false">
      <left style="medium">
        <color theme="4" tint="0.3999"/>
      </left>
      <right/>
      <top style="medium">
        <color theme="4" tint="0.3999"/>
      </top>
      <bottom style="medium">
        <color theme="4" tint="0.3999"/>
      </bottom>
      <diagonal/>
    </border>
    <border diagonalUp="false" diagonalDown="false">
      <left style="medium">
        <color theme="4" tint="0.3999"/>
      </left>
      <right style="medium">
        <color theme="4" tint="0.3999"/>
      </right>
      <top style="medium">
        <color theme="4" tint="0.3999"/>
      </top>
      <bottom style="medium">
        <color theme="4" tint="0.3999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medium">
        <color theme="4" tint="0.3999"/>
      </left>
      <right style="medium">
        <color theme="4" tint="0.3999"/>
      </right>
      <top style="medium">
        <color theme="4" tint="0.3999"/>
      </top>
      <bottom/>
      <diagonal/>
    </border>
    <border diagonalUp="false" diagonalDown="false">
      <left style="medium">
        <color theme="4" tint="0.3999"/>
      </left>
      <right/>
      <top style="medium">
        <color theme="4" tint="0.3999"/>
      </top>
      <bottom/>
      <diagonal/>
    </border>
    <border diagonalUp="false" diagonalDown="false">
      <left style="medium">
        <color theme="4" tint="0.3999"/>
      </left>
      <right style="medium">
        <color theme="4" tint="0.3999"/>
      </right>
      <top/>
      <bottom style="medium">
        <color theme="4" tint="0.3999"/>
      </bottom>
      <diagonal/>
    </border>
    <border diagonalUp="false" diagonalDown="false">
      <left style="medium">
        <color theme="4" tint="0.3999"/>
      </left>
      <right style="medium">
        <color theme="4" tint="0.3999"/>
      </right>
      <top/>
      <bottom/>
      <diagonal/>
    </border>
    <border diagonalUp="false" diagonalDown="false">
      <left style="thick">
        <color theme="8" tint="0.3999"/>
      </left>
      <right style="thick">
        <color theme="8" tint="0.3999"/>
      </right>
      <top style="thick">
        <color theme="8" tint="0.3999"/>
      </top>
      <bottom style="thick">
        <color theme="8" tint="0.3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0" fillId="3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4" borderId="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3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6" xfId="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5" fontId="10" fillId="0" borderId="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10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0" xfId="0" applyFont="true" applyBorder="true" applyAlignment="true" applyProtection="true">
      <alignment horizontal="justify" vertical="bottom" textRotation="0" wrapText="true" indent="0" shrinkToFit="false"/>
      <protection locked="fals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11" fillId="0" borderId="6" xfId="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5" fontId="0" fillId="9" borderId="6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0" fillId="9" borderId="10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6" xfId="0" applyFont="false" applyBorder="true" applyAlignment="true" applyProtection="true">
      <alignment horizontal="justify" vertical="bottom" textRotation="0" wrapText="true" indent="0" shrinkToFit="false"/>
      <protection locked="fals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11" fillId="0" borderId="8" xfId="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5" fontId="0" fillId="9" borderId="8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11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8" xfId="0" applyFont="false" applyBorder="true" applyAlignment="true" applyProtection="true">
      <alignment horizontal="justify" vertical="bottom" textRotation="0" wrapText="true" indent="0" shrinkToFit="false"/>
      <protection locked="fals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11" fillId="0" borderId="12" xfId="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5" fontId="0" fillId="9" borderId="12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2" xfId="0" applyFont="false" applyBorder="true" applyAlignment="true" applyProtection="true">
      <alignment horizontal="justify" vertical="bottom" textRotation="0" wrapText="true" indent="0" shrinkToFit="false"/>
      <protection locked="false" hidden="false"/>
    </xf>
    <xf numFmtId="164" fontId="12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2" xfId="0" applyFont="false" applyBorder="true" applyAlignment="true" applyProtection="true">
      <alignment horizontal="left" vertical="bottom" textRotation="0" wrapText="true" indent="0" shrinkToFit="false"/>
      <protection locked="fals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2B2B2"/>
      <rgbColor rgb="FF7F7F7F"/>
      <rgbColor rgb="FF8FAADC"/>
      <rgbColor rgb="FF993366"/>
      <rgbColor rgb="FFFFFFCC"/>
      <rgbColor rgb="FFDEEBF7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DC3E6"/>
      <rgbColor rgb="FFFF99CC"/>
      <rgbColor rgb="FFCC99FF"/>
      <rgbColor rgb="FFF8CBAD"/>
      <rgbColor rgb="FF4472C4"/>
      <rgbColor rgb="FF33CCCC"/>
      <rgbColor rgb="FF99CC00"/>
      <rgbColor rgb="FFFFD966"/>
      <rgbColor rgb="FFFF9900"/>
      <rgbColor rgb="FFFA7D00"/>
      <rgbColor rgb="FF44546A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U106"/>
  <sheetViews>
    <sheetView showFormulas="false" showGridLines="true" showRowColHeaders="true" showZeros="true" rightToLeft="false" tabSelected="true" showOutlineSymbols="true" defaultGridColor="true" view="normal" topLeftCell="A80" colorId="64" zoomScale="85" zoomScaleNormal="85" zoomScalePageLayoutView="100" workbookViewId="0">
      <selection pane="topLeft" activeCell="A98" activeCellId="0" sqref="A98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27.57"/>
    <col collapsed="false" customWidth="true" hidden="false" outlineLevel="0" max="2" min="2" style="1" width="69.71"/>
    <col collapsed="false" customWidth="true" hidden="false" outlineLevel="0" max="18" min="3" style="1" width="22.71"/>
    <col collapsed="false" customWidth="true" hidden="false" outlineLevel="0" max="19" min="19" style="1" width="31.71"/>
    <col collapsed="false" customWidth="true" hidden="false" outlineLevel="0" max="20" min="20" style="1" width="13.57"/>
    <col collapsed="false" customWidth="true" hidden="false" outlineLevel="0" max="21" min="21" style="1" width="33.57"/>
    <col collapsed="false" customWidth="false" hidden="false" outlineLevel="0" max="16384" min="22" style="1" width="8.86"/>
  </cols>
  <sheetData>
    <row r="1" customFormat="false" ht="19.5" hidden="false" customHeight="true" outlineLevel="0" collapsed="false">
      <c r="A1" s="2" t="s">
        <v>0</v>
      </c>
      <c r="B1" s="2"/>
      <c r="C1" s="2"/>
      <c r="D1" s="2"/>
    </row>
    <row r="2" customFormat="false" ht="15.75" hidden="false" customHeight="true" outlineLevel="0" collapsed="false"/>
    <row r="3" customFormat="false" ht="21" hidden="false" customHeight="true" outlineLevel="0" collapsed="false">
      <c r="A3" s="3" t="s">
        <v>1</v>
      </c>
      <c r="B3" s="4"/>
      <c r="C3" s="5"/>
    </row>
    <row r="4" customFormat="false" ht="16.5" hidden="false" customHeight="true" outlineLevel="0" collapsed="false"/>
    <row r="5" customFormat="false" ht="15.75" hidden="false" customHeight="true" outlineLevel="0" collapsed="false">
      <c r="A5" s="6" t="s">
        <v>2</v>
      </c>
      <c r="B5" s="7" t="s">
        <v>3</v>
      </c>
      <c r="C5" s="7"/>
      <c r="D5" s="7"/>
    </row>
    <row r="6" customFormat="false" ht="15.75" hidden="false" customHeight="true" outlineLevel="0" collapsed="false">
      <c r="A6" s="8" t="s">
        <v>4</v>
      </c>
      <c r="B6" s="7" t="s">
        <v>5</v>
      </c>
      <c r="C6" s="7"/>
      <c r="D6" s="7"/>
    </row>
    <row r="7" customFormat="false" ht="15.75" hidden="false" customHeight="true" outlineLevel="0" collapsed="false">
      <c r="A7" s="8" t="s">
        <v>6</v>
      </c>
      <c r="B7" s="7" t="s">
        <v>7</v>
      </c>
      <c r="C7" s="7"/>
      <c r="D7" s="7"/>
    </row>
    <row r="8" customFormat="false" ht="15.75" hidden="false" customHeight="true" outlineLevel="0" collapsed="false">
      <c r="A8" s="8" t="s">
        <v>8</v>
      </c>
      <c r="B8" s="7" t="s">
        <v>9</v>
      </c>
      <c r="C8" s="7"/>
      <c r="D8" s="7"/>
    </row>
    <row r="9" customFormat="false" ht="16.5" hidden="false" customHeight="true" outlineLevel="0" collapsed="false">
      <c r="C9" s="9" t="n">
        <f aca="false">SUBTOTAL(9,C12:C65)</f>
        <v>23614536.61</v>
      </c>
      <c r="D9" s="9" t="n">
        <f aca="false">SUBTOTAL(9,D12:D65)</f>
        <v>456013.6</v>
      </c>
      <c r="E9" s="9" t="n">
        <f aca="false">SUBTOTAL(9,E12:E65)</f>
        <v>51280368</v>
      </c>
      <c r="F9" s="9" t="n">
        <f aca="false">SUBTOTAL(9,F12:F65)</f>
        <v>517258.6</v>
      </c>
      <c r="G9" s="9" t="n">
        <f aca="false">SUBTOTAL(9,G12:G65)</f>
        <v>50667916</v>
      </c>
      <c r="H9" s="9" t="n">
        <f aca="false">SUBTOTAL(9,H12:H65)</f>
        <v>0</v>
      </c>
      <c r="I9" s="9" t="n">
        <f aca="false">SUBTOTAL(9,I12:I65)</f>
        <v>0</v>
      </c>
      <c r="J9" s="9" t="n">
        <f aca="false">SUBTOTAL(9,J12:J65)</f>
        <v>0</v>
      </c>
      <c r="K9" s="9" t="n">
        <f aca="false">SUBTOTAL(9,K12:K65)</f>
        <v>0</v>
      </c>
      <c r="L9" s="9" t="n">
        <f aca="false">SUBTOTAL(9,L12:L65)</f>
        <v>0</v>
      </c>
      <c r="M9" s="9" t="n">
        <f aca="false">SUBTOTAL(9,M12:M65)</f>
        <v>0</v>
      </c>
      <c r="N9" s="9" t="n">
        <f aca="false">SUBTOTAL(9,N12:N65)</f>
        <v>0</v>
      </c>
      <c r="O9" s="9" t="n">
        <f aca="false">SUBTOTAL(9,O12:O65)</f>
        <v>612450</v>
      </c>
      <c r="P9" s="9" t="n">
        <f aca="false">SUBTOTAL(9,P12:P65)</f>
        <v>0</v>
      </c>
      <c r="Q9" s="9" t="n">
        <f aca="false">SUBTOTAL(9,Q12:Q65)</f>
        <v>0</v>
      </c>
      <c r="R9" s="9" t="n">
        <f aca="false">SUBTOTAL(9,R12:R65)</f>
        <v>0</v>
      </c>
    </row>
    <row r="10" customFormat="false" ht="15.75" hidden="false" customHeight="true" outlineLevel="0" collapsed="false">
      <c r="A10" s="10" t="s">
        <v>10</v>
      </c>
      <c r="B10" s="10" t="s">
        <v>11</v>
      </c>
      <c r="C10" s="11" t="s">
        <v>12</v>
      </c>
      <c r="D10" s="11"/>
      <c r="E10" s="11" t="s">
        <v>13</v>
      </c>
      <c r="F10" s="11"/>
      <c r="G10" s="11" t="s">
        <v>14</v>
      </c>
      <c r="H10" s="11"/>
      <c r="I10" s="12" t="s">
        <v>15</v>
      </c>
      <c r="J10" s="12"/>
      <c r="K10" s="13" t="s">
        <v>16</v>
      </c>
      <c r="L10" s="13"/>
      <c r="M10" s="13"/>
      <c r="N10" s="13"/>
      <c r="O10" s="13"/>
      <c r="P10" s="13"/>
      <c r="Q10" s="13"/>
      <c r="R10" s="13"/>
      <c r="S10" s="14" t="s">
        <v>17</v>
      </c>
      <c r="T10" s="14" t="s">
        <v>18</v>
      </c>
      <c r="U10" s="15" t="s">
        <v>19</v>
      </c>
    </row>
    <row r="11" customFormat="false" ht="15" hidden="false" customHeight="true" outlineLevel="0" collapsed="false">
      <c r="A11" s="10"/>
      <c r="B11" s="10"/>
      <c r="C11" s="16" t="s">
        <v>20</v>
      </c>
      <c r="D11" s="16" t="s">
        <v>21</v>
      </c>
      <c r="E11" s="16" t="s">
        <v>20</v>
      </c>
      <c r="F11" s="16" t="s">
        <v>21</v>
      </c>
      <c r="G11" s="16" t="s">
        <v>20</v>
      </c>
      <c r="H11" s="17" t="s">
        <v>21</v>
      </c>
      <c r="I11" s="18" t="s">
        <v>20</v>
      </c>
      <c r="J11" s="19" t="s">
        <v>21</v>
      </c>
      <c r="K11" s="18" t="s">
        <v>22</v>
      </c>
      <c r="L11" s="18"/>
      <c r="M11" s="18" t="s">
        <v>23</v>
      </c>
      <c r="N11" s="18"/>
      <c r="O11" s="18" t="s">
        <v>24</v>
      </c>
      <c r="P11" s="18"/>
      <c r="Q11" s="18" t="s">
        <v>25</v>
      </c>
      <c r="R11" s="18"/>
      <c r="S11" s="14"/>
      <c r="T11" s="14"/>
      <c r="U11" s="14"/>
    </row>
    <row r="12" customFormat="false" ht="15.75" hidden="false" customHeight="true" outlineLevel="0" collapsed="false">
      <c r="A12" s="20" t="s">
        <v>26</v>
      </c>
      <c r="B12" s="21" t="s">
        <v>27</v>
      </c>
      <c r="C12" s="22" t="n">
        <v>0</v>
      </c>
      <c r="D12" s="22" t="n">
        <v>0</v>
      </c>
      <c r="E12" s="22" t="n">
        <v>612452</v>
      </c>
      <c r="F12" s="22" t="n">
        <v>61245</v>
      </c>
      <c r="G12" s="22" t="n">
        <v>0</v>
      </c>
      <c r="H12" s="23" t="s">
        <v>28</v>
      </c>
      <c r="I12" s="24"/>
      <c r="J12" s="24"/>
      <c r="K12" s="25" t="n">
        <f aca="false">ROUND(IF(OR(C12="NA",E12="NA"),0,IF(AND(C12&gt;0,E12&gt;0),(C12-E12),0)),-1)</f>
        <v>0</v>
      </c>
      <c r="L12" s="25" t="n">
        <f aca="false">ROUND(IF(OR(D12="NA",F12="NA"),0,IF(AND(D12&gt;0,F12&gt;0),(D12-F12),0)),-1)</f>
        <v>0</v>
      </c>
      <c r="M12" s="25" t="n">
        <f aca="false">ROUND(IF(OR(C12="NA",G12="NA"),0,IF(AND(C12&gt;=0,G12&gt;=0),(C12-G12),0)),-1)</f>
        <v>0</v>
      </c>
      <c r="N12" s="25" t="n">
        <f aca="false">ROUND(IF(OR(D12="NA",H12="NA"),0,IF(AND(D12&gt;=0,H12&gt;=0),(D12-H12),0)),-1)</f>
        <v>0</v>
      </c>
      <c r="O12" s="25" t="n">
        <f aca="false">ROUND(IF(OR(E12="NA",G12="NA"),0,IF(AND(G12&gt;=0,E12&gt;=0),(E12-G12),0)),-1)</f>
        <v>612450</v>
      </c>
      <c r="P12" s="25" t="n">
        <f aca="false">ROUND(IF(OR(F12="NA",H12="NA"),0,IF(AND(F12&gt;=0,H12&gt;=0),(F12-H12),0)),-1)</f>
        <v>0</v>
      </c>
      <c r="Q12" s="25" t="n">
        <f aca="false">ROUND(IF(OR(E12="NA",I12="",I12="NA"),0,IF(AND(E12&gt;=0,I12&gt;=0,E12&gt;I12),(E12-I12),0)),-1)</f>
        <v>0</v>
      </c>
      <c r="R12" s="25" t="n">
        <f aca="false">ROUND(IF(OR(F12="NA",J12="",J12="NA"),0,IF(AND(J12&gt;=0,F12&gt;=0),(J12-F12),0)),-1)</f>
        <v>0</v>
      </c>
      <c r="S12" s="24"/>
      <c r="T12" s="25" t="str">
        <f aca="false">IF(S12="Yes","Report","No Action")</f>
        <v>No Action</v>
      </c>
      <c r="U12" s="26" t="s">
        <v>29</v>
      </c>
    </row>
    <row r="13" customFormat="false" ht="15.75" hidden="false" customHeight="true" outlineLevel="0" collapsed="false">
      <c r="A13" s="20" t="s">
        <v>30</v>
      </c>
      <c r="B13" s="21" t="s">
        <v>31</v>
      </c>
      <c r="C13" s="22" t="n">
        <v>100875</v>
      </c>
      <c r="D13" s="22" t="n">
        <v>2017</v>
      </c>
      <c r="E13" s="22" t="n">
        <v>100875</v>
      </c>
      <c r="F13" s="23" t="n">
        <f aca="false">D13</f>
        <v>2017</v>
      </c>
      <c r="G13" s="23" t="n">
        <f aca="false">E13</f>
        <v>100875</v>
      </c>
      <c r="H13" s="23" t="s">
        <v>28</v>
      </c>
      <c r="I13" s="24"/>
      <c r="J13" s="24"/>
      <c r="K13" s="25" t="n">
        <f aca="false">ROUND(IF(OR(C13="NA",E13="NA"),0,IF(AND(C13&gt;0,E13&gt;0),(C13-E13),0)),-1)</f>
        <v>0</v>
      </c>
      <c r="L13" s="25" t="n">
        <f aca="false">ROUND(IF(OR(D13="NA",F13="NA"),0,IF(AND(D13&gt;0,F13&gt;0),(D13-F13),0)),-1)</f>
        <v>0</v>
      </c>
      <c r="M13" s="25" t="n">
        <f aca="false">ROUND(IF(OR(C13="NA",G13="NA"),0,IF(AND(C13&gt;=0,G13&gt;=0),(C13-G13),0)),-1)</f>
        <v>0</v>
      </c>
      <c r="N13" s="25" t="n">
        <f aca="false">ROUND(IF(OR(D13="NA",H13="NA"),0,IF(AND(D13&gt;=0,H13&gt;=0),(D13-H13),0)),-1)</f>
        <v>0</v>
      </c>
      <c r="O13" s="25" t="n">
        <f aca="false">ROUND(IF(OR(E13="NA",G13="NA"),0,IF(AND(G13&gt;=0,E13&gt;=0),(E13-G13),0)),-1)</f>
        <v>0</v>
      </c>
      <c r="P13" s="25" t="n">
        <f aca="false">ROUND(IF(OR(F13="NA",H13="NA"),0,IF(AND(F13&gt;=0,H13&gt;=0),(F13-H13),0)),-1)</f>
        <v>0</v>
      </c>
      <c r="Q13" s="25" t="n">
        <f aca="false">ROUND(IF(OR(E13="NA",I13="",I13="NA"),0,IF(AND(E13&gt;=0,I13&gt;=0,E13&gt;I13),(E13-I13),0)),-1)</f>
        <v>0</v>
      </c>
      <c r="R13" s="25" t="n">
        <f aca="false">ROUND(IF(OR(F13="NA",J13="",J13="NA"),0,IF(AND(J13&gt;=0,F13&gt;=0),(J13-F13),0)),-1)</f>
        <v>0</v>
      </c>
      <c r="S13" s="24"/>
      <c r="T13" s="25" t="str">
        <f aca="false">IF(S13="Yes","Report","No Action")</f>
        <v>No Action</v>
      </c>
      <c r="U13" s="26"/>
    </row>
    <row r="14" customFormat="false" ht="15.75" hidden="false" customHeight="true" outlineLevel="0" collapsed="false">
      <c r="A14" s="20" t="s">
        <v>30</v>
      </c>
      <c r="B14" s="21" t="s">
        <v>32</v>
      </c>
      <c r="C14" s="22" t="n">
        <v>39913</v>
      </c>
      <c r="D14" s="22" t="n">
        <v>801</v>
      </c>
      <c r="E14" s="22" t="n">
        <v>39913</v>
      </c>
      <c r="F14" s="23" t="n">
        <f aca="false">D14</f>
        <v>801</v>
      </c>
      <c r="G14" s="23" t="n">
        <f aca="false">E14</f>
        <v>39913</v>
      </c>
      <c r="H14" s="23" t="s">
        <v>28</v>
      </c>
      <c r="I14" s="24"/>
      <c r="J14" s="24"/>
      <c r="K14" s="25" t="n">
        <f aca="false">ROUND(IF(OR(C14="NA",E14="NA"),0,IF(AND(C14&gt;0,E14&gt;0),(C14-E14),0)),-1)</f>
        <v>0</v>
      </c>
      <c r="L14" s="25" t="n">
        <f aca="false">ROUND(IF(OR(D14="NA",F14="NA"),0,IF(AND(D14&gt;0,F14&gt;0),(D14-F14),0)),-1)</f>
        <v>0</v>
      </c>
      <c r="M14" s="25" t="n">
        <f aca="false">ROUND(IF(OR(C14="NA",G14="NA"),0,IF(AND(C14&gt;=0,G14&gt;=0),(C14-G14),0)),-1)</f>
        <v>0</v>
      </c>
      <c r="N14" s="25" t="n">
        <f aca="false">ROUND(IF(OR(D14="NA",H14="NA"),0,IF(AND(D14&gt;=0,H14&gt;=0),(D14-H14),0)),-1)</f>
        <v>0</v>
      </c>
      <c r="O14" s="25" t="n">
        <f aca="false">ROUND(IF(OR(E14="NA",G14="NA"),0,IF(AND(G14&gt;=0,E14&gt;=0),(E14-G14),0)),-1)</f>
        <v>0</v>
      </c>
      <c r="P14" s="25" t="n">
        <f aca="false">ROUND(IF(OR(F14="NA",H14="NA"),0,IF(AND(F14&gt;=0,H14&gt;=0),(F14-H14),0)),-1)</f>
        <v>0</v>
      </c>
      <c r="Q14" s="25" t="n">
        <f aca="false">ROUND(IF(OR(E14="NA",I14="",I14="NA"),0,IF(AND(E14&gt;=0,I14&gt;=0,E14&gt;I14),(E14-I14),0)),-1)</f>
        <v>0</v>
      </c>
      <c r="R14" s="25" t="n">
        <f aca="false">ROUND(IF(OR(F14="NA",J14="",J14="NA"),0,IF(AND(J14&gt;=0,F14&gt;=0),(J14-F14),0)),-1)</f>
        <v>0</v>
      </c>
      <c r="S14" s="24"/>
      <c r="T14" s="25" t="str">
        <f aca="false">IF(S14="Yes","Report","No Action")</f>
        <v>No Action</v>
      </c>
      <c r="U14" s="26"/>
    </row>
    <row r="15" customFormat="false" ht="15.75" hidden="false" customHeight="true" outlineLevel="0" collapsed="false">
      <c r="A15" s="20" t="s">
        <v>30</v>
      </c>
      <c r="B15" s="21" t="s">
        <v>33</v>
      </c>
      <c r="C15" s="22" t="n">
        <v>7141</v>
      </c>
      <c r="D15" s="22" t="n">
        <v>142.82</v>
      </c>
      <c r="E15" s="22" t="n">
        <v>7141</v>
      </c>
      <c r="F15" s="23" t="n">
        <f aca="false">D15</f>
        <v>142.82</v>
      </c>
      <c r="G15" s="23" t="n">
        <f aca="false">E15</f>
        <v>7141</v>
      </c>
      <c r="H15" s="23" t="s">
        <v>28</v>
      </c>
      <c r="I15" s="24"/>
      <c r="J15" s="24"/>
      <c r="K15" s="25" t="n">
        <f aca="false">ROUND(IF(OR(C15="NA",E15="NA"),0,IF(AND(C15&gt;0,E15&gt;0),(C15-E15),0)),-1)</f>
        <v>0</v>
      </c>
      <c r="L15" s="25" t="n">
        <f aca="false">ROUND(IF(OR(D15="NA",F15="NA"),0,IF(AND(D15&gt;0,F15&gt;0),(D15-F15),0)),-1)</f>
        <v>0</v>
      </c>
      <c r="M15" s="25" t="n">
        <f aca="false">ROUND(IF(OR(C15="NA",G15="NA"),0,IF(AND(C15&gt;=0,G15&gt;=0),(C15-G15),0)),-1)</f>
        <v>0</v>
      </c>
      <c r="N15" s="25" t="n">
        <f aca="false">ROUND(IF(OR(D15="NA",H15="NA"),0,IF(AND(D15&gt;=0,H15&gt;=0),(D15-H15),0)),-1)</f>
        <v>0</v>
      </c>
      <c r="O15" s="25" t="n">
        <f aca="false">ROUND(IF(OR(E15="NA",G15="NA"),0,IF(AND(G15&gt;=0,E15&gt;=0),(E15-G15),0)),-1)</f>
        <v>0</v>
      </c>
      <c r="P15" s="25" t="n">
        <f aca="false">ROUND(IF(OR(F15="NA",H15="NA"),0,IF(AND(F15&gt;=0,H15&gt;=0),(F15-H15),0)),-1)</f>
        <v>0</v>
      </c>
      <c r="Q15" s="25" t="n">
        <f aca="false">ROUND(IF(OR(E15="NA",I15="",I15="NA"),0,IF(AND(E15&gt;=0,I15&gt;=0,E15&gt;I15),(E15-I15),0)),-1)</f>
        <v>0</v>
      </c>
      <c r="R15" s="25" t="n">
        <f aca="false">ROUND(IF(OR(F15="NA",J15="",J15="NA"),0,IF(AND(J15&gt;=0,F15&gt;=0),(J15-F15),0)),-1)</f>
        <v>0</v>
      </c>
      <c r="S15" s="24"/>
      <c r="T15" s="25" t="str">
        <f aca="false">IF(S15="Yes","Report","No Action")</f>
        <v>No Action</v>
      </c>
      <c r="U15" s="26"/>
    </row>
    <row r="16" customFormat="false" ht="15.75" hidden="false" customHeight="true" outlineLevel="0" collapsed="false">
      <c r="A16" s="20" t="s">
        <v>34</v>
      </c>
      <c r="B16" s="21" t="s">
        <v>35</v>
      </c>
      <c r="C16" s="22" t="n">
        <v>5027592</v>
      </c>
      <c r="D16" s="22" t="n">
        <v>100566</v>
      </c>
      <c r="E16" s="22" t="n">
        <v>5027592</v>
      </c>
      <c r="F16" s="23" t="n">
        <f aca="false">D16</f>
        <v>100566</v>
      </c>
      <c r="G16" s="23" t="n">
        <f aca="false">E16</f>
        <v>5027592</v>
      </c>
      <c r="H16" s="23" t="s">
        <v>28</v>
      </c>
      <c r="I16" s="24"/>
      <c r="J16" s="24"/>
      <c r="K16" s="25" t="n">
        <f aca="false">ROUND(IF(OR(C16="NA",E16="NA"),0,IF(AND(C16&gt;0,E16&gt;0),(C16-E16),0)),-1)</f>
        <v>0</v>
      </c>
      <c r="L16" s="25" t="n">
        <f aca="false">ROUND(IF(OR(D16="NA",F16="NA"),0,IF(AND(D16&gt;0,F16&gt;0),(D16-F16),0)),-1)</f>
        <v>0</v>
      </c>
      <c r="M16" s="25" t="n">
        <f aca="false">ROUND(IF(OR(C16="NA",G16="NA"),0,IF(AND(C16&gt;=0,G16&gt;=0),(C16-G16),0)),-1)</f>
        <v>0</v>
      </c>
      <c r="N16" s="25" t="n">
        <f aca="false">ROUND(IF(OR(D16="NA",H16="NA"),0,IF(AND(D16&gt;=0,H16&gt;=0),(D16-H16),0)),-1)</f>
        <v>0</v>
      </c>
      <c r="O16" s="25" t="n">
        <f aca="false">ROUND(IF(OR(E16="NA",G16="NA"),0,IF(AND(G16&gt;=0,E16&gt;=0),(E16-G16),0)),-1)</f>
        <v>0</v>
      </c>
      <c r="P16" s="25" t="n">
        <f aca="false">ROUND(IF(OR(F16="NA",H16="NA"),0,IF(AND(F16&gt;=0,H16&gt;=0),(F16-H16),0)),-1)</f>
        <v>0</v>
      </c>
      <c r="Q16" s="25" t="n">
        <f aca="false">ROUND(IF(OR(E16="NA",I16="",I16="NA"),0,IF(AND(E16&gt;=0,I16&gt;=0,E16&gt;I16),(E16-I16),0)),-1)</f>
        <v>0</v>
      </c>
      <c r="R16" s="25" t="n">
        <f aca="false">ROUND(IF(OR(F16="NA",J16="",J16="NA"),0,IF(AND(J16&gt;=0,F16&gt;=0),(J16-F16),0)),-1)</f>
        <v>0</v>
      </c>
      <c r="S16" s="24"/>
      <c r="T16" s="25" t="str">
        <f aca="false">IF(S16="Yes","Report","No Action")</f>
        <v>No Action</v>
      </c>
      <c r="U16" s="26"/>
    </row>
    <row r="17" customFormat="false" ht="15.75" hidden="false" customHeight="true" outlineLevel="0" collapsed="false">
      <c r="A17" s="20" t="s">
        <v>34</v>
      </c>
      <c r="B17" s="21" t="s">
        <v>36</v>
      </c>
      <c r="C17" s="22" t="n">
        <v>3049177.36</v>
      </c>
      <c r="D17" s="22" t="n">
        <v>60984</v>
      </c>
      <c r="E17" s="22" t="n">
        <v>3049178</v>
      </c>
      <c r="F17" s="23" t="n">
        <f aca="false">D17</f>
        <v>60984</v>
      </c>
      <c r="G17" s="23" t="n">
        <f aca="false">E17</f>
        <v>3049178</v>
      </c>
      <c r="H17" s="23" t="s">
        <v>28</v>
      </c>
      <c r="I17" s="24"/>
      <c r="J17" s="24"/>
      <c r="K17" s="25" t="n">
        <f aca="false">ROUND(IF(OR(C17="NA",E17="NA"),0,IF(AND(C17&gt;0,E17&gt;0),(C17-E17),0)),-1)</f>
        <v>-0</v>
      </c>
      <c r="L17" s="25" t="n">
        <f aca="false">ROUND(IF(OR(D17="NA",F17="NA"),0,IF(AND(D17&gt;0,F17&gt;0),(D17-F17),0)),-1)</f>
        <v>0</v>
      </c>
      <c r="M17" s="25" t="n">
        <f aca="false">ROUND(IF(OR(C17="NA",G17="NA"),0,IF(AND(C17&gt;=0,G17&gt;=0),(C17-G17),0)),-1)</f>
        <v>-0</v>
      </c>
      <c r="N17" s="25" t="n">
        <f aca="false">ROUND(IF(OR(D17="NA",H17="NA"),0,IF(AND(D17&gt;=0,H17&gt;=0),(D17-H17),0)),-1)</f>
        <v>0</v>
      </c>
      <c r="O17" s="25" t="n">
        <f aca="false">ROUND(IF(OR(E17="NA",G17="NA"),0,IF(AND(G17&gt;=0,E17&gt;=0),(E17-G17),0)),-1)</f>
        <v>0</v>
      </c>
      <c r="P17" s="25" t="n">
        <f aca="false">ROUND(IF(OR(F17="NA",H17="NA"),0,IF(AND(F17&gt;=0,H17&gt;=0),(F17-H17),0)),-1)</f>
        <v>0</v>
      </c>
      <c r="Q17" s="25" t="n">
        <f aca="false">ROUND(IF(OR(E17="NA",I17="",I17="NA"),0,IF(AND(E17&gt;=0,I17&gt;=0,E17&gt;I17),(E17-I17),0)),-1)</f>
        <v>0</v>
      </c>
      <c r="R17" s="25" t="n">
        <f aca="false">ROUND(IF(OR(F17="NA",J17="",J17="NA"),0,IF(AND(J17&gt;=0,F17&gt;=0),(J17-F17),0)),-1)</f>
        <v>0</v>
      </c>
      <c r="S17" s="24"/>
      <c r="T17" s="25" t="str">
        <f aca="false">IF(S17="Yes","Report","No Action")</f>
        <v>No Action</v>
      </c>
      <c r="U17" s="26" t="s">
        <v>37</v>
      </c>
    </row>
    <row r="18" customFormat="false" ht="15.75" hidden="false" customHeight="true" outlineLevel="0" collapsed="false">
      <c r="A18" s="20" t="s">
        <v>34</v>
      </c>
      <c r="B18" s="21" t="s">
        <v>38</v>
      </c>
      <c r="C18" s="22" t="n">
        <v>2706086</v>
      </c>
      <c r="D18" s="22" t="n">
        <v>54121</v>
      </c>
      <c r="E18" s="22" t="n">
        <v>2706086</v>
      </c>
      <c r="F18" s="23" t="n">
        <f aca="false">D18</f>
        <v>54121</v>
      </c>
      <c r="G18" s="23" t="n">
        <f aca="false">E18</f>
        <v>2706086</v>
      </c>
      <c r="H18" s="23" t="s">
        <v>28</v>
      </c>
      <c r="I18" s="24"/>
      <c r="J18" s="24"/>
      <c r="K18" s="25" t="n">
        <f aca="false">ROUND(IF(OR(C18="NA",E18="NA"),0,IF(AND(C18&gt;0,E18&gt;0),(C18-E18),0)),-1)</f>
        <v>0</v>
      </c>
      <c r="L18" s="25" t="n">
        <f aca="false">ROUND(IF(OR(D18="NA",F18="NA"),0,IF(AND(D18&gt;0,F18&gt;0),(D18-F18),0)),-1)</f>
        <v>0</v>
      </c>
      <c r="M18" s="25" t="n">
        <f aca="false">ROUND(IF(OR(C18="NA",G18="NA"),0,IF(AND(C18&gt;=0,G18&gt;=0),(C18-G18),0)),-1)</f>
        <v>0</v>
      </c>
      <c r="N18" s="25" t="n">
        <f aca="false">ROUND(IF(OR(D18="NA",H18="NA"),0,IF(AND(D18&gt;=0,H18&gt;=0),(D18-H18),0)),-1)</f>
        <v>0</v>
      </c>
      <c r="O18" s="25" t="n">
        <f aca="false">ROUND(IF(OR(E18="NA",G18="NA"),0,IF(AND(G18&gt;=0,E18&gt;=0),(E18-G18),0)),-1)</f>
        <v>0</v>
      </c>
      <c r="P18" s="25" t="n">
        <f aca="false">ROUND(IF(OR(F18="NA",H18="NA"),0,IF(AND(F18&gt;=0,H18&gt;=0),(F18-H18),0)),-1)</f>
        <v>0</v>
      </c>
      <c r="Q18" s="25" t="n">
        <f aca="false">ROUND(IF(OR(E18="NA",I18="",I18="NA"),0,IF(AND(E18&gt;=0,I18&gt;=0,E18&gt;I18),(E18-I18),0)),-1)</f>
        <v>0</v>
      </c>
      <c r="R18" s="25" t="n">
        <f aca="false">ROUND(IF(OR(F18="NA",J18="",J18="NA"),0,IF(AND(J18&gt;=0,F18&gt;=0),(J18-F18),0)),-1)</f>
        <v>0</v>
      </c>
      <c r="S18" s="24"/>
      <c r="T18" s="25" t="str">
        <f aca="false">IF(S18="Yes","Report","No Action")</f>
        <v>No Action</v>
      </c>
      <c r="U18" s="26"/>
    </row>
    <row r="19" customFormat="false" ht="15.75" hidden="false" customHeight="true" outlineLevel="0" collapsed="false">
      <c r="A19" s="20" t="s">
        <v>34</v>
      </c>
      <c r="B19" s="21" t="s">
        <v>39</v>
      </c>
      <c r="C19" s="22" t="n">
        <v>2356954</v>
      </c>
      <c r="D19" s="22" t="n">
        <v>47137</v>
      </c>
      <c r="E19" s="22" t="n">
        <v>2356954</v>
      </c>
      <c r="F19" s="23" t="n">
        <f aca="false">D19</f>
        <v>47137</v>
      </c>
      <c r="G19" s="23" t="n">
        <f aca="false">E19</f>
        <v>2356954</v>
      </c>
      <c r="H19" s="23" t="s">
        <v>28</v>
      </c>
      <c r="I19" s="24"/>
      <c r="J19" s="24"/>
      <c r="K19" s="25" t="n">
        <f aca="false">ROUND(IF(OR(C19="NA",E19="NA"),0,IF(AND(C19&gt;0,E19&gt;0),(C19-E19),0)),-1)</f>
        <v>0</v>
      </c>
      <c r="L19" s="25" t="n">
        <f aca="false">ROUND(IF(OR(D19="NA",F19="NA"),0,IF(AND(D19&gt;0,F19&gt;0),(D19-F19),0)),-1)</f>
        <v>0</v>
      </c>
      <c r="M19" s="25" t="n">
        <f aca="false">ROUND(IF(OR(C19="NA",G19="NA"),0,IF(AND(C19&gt;=0,G19&gt;=0),(C19-G19),0)),-1)</f>
        <v>0</v>
      </c>
      <c r="N19" s="25" t="n">
        <f aca="false">ROUND(IF(OR(D19="NA",H19="NA"),0,IF(AND(D19&gt;=0,H19&gt;=0),(D19-H19),0)),-1)</f>
        <v>0</v>
      </c>
      <c r="O19" s="25" t="n">
        <f aca="false">ROUND(IF(OR(E19="NA",G19="NA"),0,IF(AND(G19&gt;=0,E19&gt;=0),(E19-G19),0)),-1)</f>
        <v>0</v>
      </c>
      <c r="P19" s="25" t="n">
        <f aca="false">ROUND(IF(OR(F19="NA",H19="NA"),0,IF(AND(F19&gt;=0,H19&gt;=0),(F19-H19),0)),-1)</f>
        <v>0</v>
      </c>
      <c r="Q19" s="25" t="n">
        <f aca="false">ROUND(IF(OR(E19="NA",I19="",I19="NA"),0,IF(AND(E19&gt;=0,I19&gt;=0,E19&gt;I19),(E19-I19),0)),-1)</f>
        <v>0</v>
      </c>
      <c r="R19" s="25" t="n">
        <f aca="false">ROUND(IF(OR(F19="NA",J19="",J19="NA"),0,IF(AND(J19&gt;=0,F19&gt;=0),(J19-F19),0)),-1)</f>
        <v>0</v>
      </c>
      <c r="S19" s="24"/>
      <c r="T19" s="25" t="str">
        <f aca="false">IF(S19="Yes","Report","No Action")</f>
        <v>No Action</v>
      </c>
      <c r="U19" s="26"/>
    </row>
    <row r="20" customFormat="false" ht="15.75" hidden="false" customHeight="true" outlineLevel="0" collapsed="false">
      <c r="A20" s="20" t="s">
        <v>34</v>
      </c>
      <c r="B20" s="21" t="s">
        <v>40</v>
      </c>
      <c r="C20" s="22" t="n">
        <v>1689350</v>
      </c>
      <c r="D20" s="22" t="n">
        <v>33783</v>
      </c>
      <c r="E20" s="22" t="n">
        <v>1689350</v>
      </c>
      <c r="F20" s="23" t="n">
        <f aca="false">D20</f>
        <v>33783</v>
      </c>
      <c r="G20" s="23" t="n">
        <f aca="false">E20</f>
        <v>1689350</v>
      </c>
      <c r="H20" s="23" t="s">
        <v>28</v>
      </c>
      <c r="I20" s="24"/>
      <c r="J20" s="24"/>
      <c r="K20" s="25" t="n">
        <f aca="false">ROUND(IF(OR(C20="NA",E20="NA"),0,IF(AND(C20&gt;0,E20&gt;0),(C20-E20),0)),-1)</f>
        <v>0</v>
      </c>
      <c r="L20" s="25" t="n">
        <f aca="false">ROUND(IF(OR(D20="NA",F20="NA"),0,IF(AND(D20&gt;0,F20&gt;0),(D20-F20),0)),-1)</f>
        <v>0</v>
      </c>
      <c r="M20" s="25" t="n">
        <f aca="false">ROUND(IF(OR(C20="NA",G20="NA"),0,IF(AND(C20&gt;=0,G20&gt;=0),(C20-G20),0)),-1)</f>
        <v>0</v>
      </c>
      <c r="N20" s="25" t="n">
        <f aca="false">ROUND(IF(OR(D20="NA",H20="NA"),0,IF(AND(D20&gt;=0,H20&gt;=0),(D20-H20),0)),-1)</f>
        <v>0</v>
      </c>
      <c r="O20" s="25" t="n">
        <f aca="false">ROUND(IF(OR(E20="NA",G20="NA"),0,IF(AND(G20&gt;=0,E20&gt;=0),(E20-G20),0)),-1)</f>
        <v>0</v>
      </c>
      <c r="P20" s="25" t="n">
        <f aca="false">ROUND(IF(OR(F20="NA",H20="NA"),0,IF(AND(F20&gt;=0,H20&gt;=0),(F20-H20),0)),-1)</f>
        <v>0</v>
      </c>
      <c r="Q20" s="25" t="n">
        <f aca="false">ROUND(IF(OR(E20="NA",I20="",I20="NA"),0,IF(AND(E20&gt;=0,I20&gt;=0,E20&gt;I20),(E20-I20),0)),-1)</f>
        <v>0</v>
      </c>
      <c r="R20" s="25" t="n">
        <f aca="false">ROUND(IF(OR(F20="NA",J20="",J20="NA"),0,IF(AND(J20&gt;=0,F20&gt;=0),(J20-F20),0)),-1)</f>
        <v>0</v>
      </c>
      <c r="S20" s="24"/>
      <c r="T20" s="25" t="str">
        <f aca="false">IF(S20="Yes","Report","No Action")</f>
        <v>No Action</v>
      </c>
      <c r="U20" s="26"/>
    </row>
    <row r="21" customFormat="false" ht="15.75" hidden="false" customHeight="true" outlineLevel="0" collapsed="false">
      <c r="A21" s="20" t="s">
        <v>34</v>
      </c>
      <c r="B21" s="21" t="s">
        <v>41</v>
      </c>
      <c r="C21" s="22" t="n">
        <v>897625</v>
      </c>
      <c r="D21" s="22" t="n">
        <v>17951</v>
      </c>
      <c r="E21" s="22" t="n">
        <v>897625</v>
      </c>
      <c r="F21" s="23" t="n">
        <f aca="false">D21</f>
        <v>17951</v>
      </c>
      <c r="G21" s="23" t="n">
        <f aca="false">E21</f>
        <v>897625</v>
      </c>
      <c r="H21" s="23" t="s">
        <v>28</v>
      </c>
      <c r="I21" s="24"/>
      <c r="J21" s="24"/>
      <c r="K21" s="25" t="n">
        <f aca="false">ROUND(IF(OR(C21="NA",E21="NA"),0,IF(AND(C21&gt;0,E21&gt;0),(C21-E21),0)),-1)</f>
        <v>0</v>
      </c>
      <c r="L21" s="25" t="n">
        <f aca="false">ROUND(IF(OR(D21="NA",F21="NA"),0,IF(AND(D21&gt;0,F21&gt;0),(D21-F21),0)),-1)</f>
        <v>0</v>
      </c>
      <c r="M21" s="25" t="n">
        <f aca="false">ROUND(IF(OR(C21="NA",G21="NA"),0,IF(AND(C21&gt;=0,G21&gt;=0),(C21-G21),0)),-1)</f>
        <v>0</v>
      </c>
      <c r="N21" s="25" t="n">
        <f aca="false">ROUND(IF(OR(D21="NA",H21="NA"),0,IF(AND(D21&gt;=0,H21&gt;=0),(D21-H21),0)),-1)</f>
        <v>0</v>
      </c>
      <c r="O21" s="25" t="n">
        <f aca="false">ROUND(IF(OR(E21="NA",G21="NA"),0,IF(AND(G21&gt;=0,E21&gt;=0),(E21-G21),0)),-1)</f>
        <v>0</v>
      </c>
      <c r="P21" s="25" t="n">
        <f aca="false">ROUND(IF(OR(F21="NA",H21="NA"),0,IF(AND(F21&gt;=0,H21&gt;=0),(F21-H21),0)),-1)</f>
        <v>0</v>
      </c>
      <c r="Q21" s="25" t="n">
        <f aca="false">ROUND(IF(OR(E21="NA",I21="",I21="NA"),0,IF(AND(E21&gt;=0,I21&gt;=0,E21&gt;I21),(E21-I21),0)),-1)</f>
        <v>0</v>
      </c>
      <c r="R21" s="25" t="n">
        <f aca="false">ROUND(IF(OR(F21="NA",J21="",J21="NA"),0,IF(AND(J21&gt;=0,F21&gt;=0),(J21-F21),0)),-1)</f>
        <v>0</v>
      </c>
      <c r="S21" s="24"/>
      <c r="T21" s="25" t="str">
        <f aca="false">IF(S21="Yes","Report","No Action")</f>
        <v>No Action</v>
      </c>
      <c r="U21" s="26"/>
    </row>
    <row r="22" customFormat="false" ht="15.75" hidden="false" customHeight="true" outlineLevel="0" collapsed="false">
      <c r="A22" s="20" t="s">
        <v>34</v>
      </c>
      <c r="B22" s="21" t="s">
        <v>42</v>
      </c>
      <c r="C22" s="22" t="n">
        <v>615767</v>
      </c>
      <c r="D22" s="22" t="n">
        <v>12314</v>
      </c>
      <c r="E22" s="22" t="n">
        <v>615767</v>
      </c>
      <c r="F22" s="23" t="n">
        <f aca="false">D22</f>
        <v>12314</v>
      </c>
      <c r="G22" s="23" t="n">
        <f aca="false">E22</f>
        <v>615767</v>
      </c>
      <c r="H22" s="23" t="s">
        <v>28</v>
      </c>
      <c r="I22" s="24"/>
      <c r="J22" s="24"/>
      <c r="K22" s="25" t="n">
        <f aca="false">ROUND(IF(OR(C22="NA",E22="NA"),0,IF(AND(C22&gt;0,E22&gt;0),(C22-E22),0)),-1)</f>
        <v>0</v>
      </c>
      <c r="L22" s="25" t="n">
        <f aca="false">ROUND(IF(OR(D22="NA",F22="NA"),0,IF(AND(D22&gt;0,F22&gt;0),(D22-F22),0)),-1)</f>
        <v>0</v>
      </c>
      <c r="M22" s="25" t="n">
        <f aca="false">ROUND(IF(OR(C22="NA",G22="NA"),0,IF(AND(C22&gt;=0,G22&gt;=0),(C22-G22),0)),-1)</f>
        <v>0</v>
      </c>
      <c r="N22" s="25" t="n">
        <f aca="false">ROUND(IF(OR(D22="NA",H22="NA"),0,IF(AND(D22&gt;=0,H22&gt;=0),(D22-H22),0)),-1)</f>
        <v>0</v>
      </c>
      <c r="O22" s="25" t="n">
        <f aca="false">ROUND(IF(OR(E22="NA",G22="NA"),0,IF(AND(G22&gt;=0,E22&gt;=0),(E22-G22),0)),-1)</f>
        <v>0</v>
      </c>
      <c r="P22" s="25" t="n">
        <f aca="false">ROUND(IF(OR(F22="NA",H22="NA"),0,IF(AND(F22&gt;=0,H22&gt;=0),(F22-H22),0)),-1)</f>
        <v>0</v>
      </c>
      <c r="Q22" s="25" t="n">
        <f aca="false">ROUND(IF(OR(E22="NA",I22="",I22="NA"),0,IF(AND(E22&gt;=0,I22&gt;=0,E22&gt;I22),(E22-I22),0)),-1)</f>
        <v>0</v>
      </c>
      <c r="R22" s="25" t="n">
        <f aca="false">ROUND(IF(OR(F22="NA",J22="",J22="NA"),0,IF(AND(J22&gt;=0,F22&gt;=0),(J22-F22),0)),-1)</f>
        <v>0</v>
      </c>
      <c r="S22" s="24"/>
      <c r="T22" s="25" t="str">
        <f aca="false">IF(S22="Yes","Report","No Action")</f>
        <v>No Action</v>
      </c>
      <c r="U22" s="26"/>
    </row>
    <row r="23" customFormat="false" ht="15.75" hidden="false" customHeight="true" outlineLevel="0" collapsed="false">
      <c r="A23" s="20" t="s">
        <v>34</v>
      </c>
      <c r="B23" s="21" t="s">
        <v>43</v>
      </c>
      <c r="C23" s="22" t="n">
        <v>516224</v>
      </c>
      <c r="D23" s="22" t="n">
        <v>10324</v>
      </c>
      <c r="E23" s="22" t="n">
        <v>516224</v>
      </c>
      <c r="F23" s="23" t="n">
        <f aca="false">D23</f>
        <v>10324</v>
      </c>
      <c r="G23" s="23" t="n">
        <f aca="false">E23</f>
        <v>516224</v>
      </c>
      <c r="H23" s="23" t="s">
        <v>28</v>
      </c>
      <c r="I23" s="24"/>
      <c r="J23" s="24"/>
      <c r="K23" s="25" t="n">
        <f aca="false">ROUND(IF(OR(C23="NA",E23="NA"),0,IF(AND(C23&gt;0,E23&gt;0),(C23-E23),0)),-1)</f>
        <v>0</v>
      </c>
      <c r="L23" s="25" t="n">
        <f aca="false">ROUND(IF(OR(D23="NA",F23="NA"),0,IF(AND(D23&gt;0,F23&gt;0),(D23-F23),0)),-1)</f>
        <v>0</v>
      </c>
      <c r="M23" s="25" t="n">
        <f aca="false">ROUND(IF(OR(C23="NA",G23="NA"),0,IF(AND(C23&gt;=0,G23&gt;=0),(C23-G23),0)),-1)</f>
        <v>0</v>
      </c>
      <c r="N23" s="25" t="n">
        <f aca="false">ROUND(IF(OR(D23="NA",H23="NA"),0,IF(AND(D23&gt;=0,H23&gt;=0),(D23-H23),0)),-1)</f>
        <v>0</v>
      </c>
      <c r="O23" s="25" t="n">
        <f aca="false">ROUND(IF(OR(E23="NA",G23="NA"),0,IF(AND(G23&gt;=0,E23&gt;=0),(E23-G23),0)),-1)</f>
        <v>0</v>
      </c>
      <c r="P23" s="25" t="n">
        <f aca="false">ROUND(IF(OR(F23="NA",H23="NA"),0,IF(AND(F23&gt;=0,H23&gt;=0),(F23-H23),0)),-1)</f>
        <v>0</v>
      </c>
      <c r="Q23" s="25" t="n">
        <f aca="false">ROUND(IF(OR(E23="NA",I23="",I23="NA"),0,IF(AND(E23&gt;=0,I23&gt;=0,E23&gt;I23),(E23-I23),0)),-1)</f>
        <v>0</v>
      </c>
      <c r="R23" s="25" t="n">
        <f aca="false">ROUND(IF(OR(F23="NA",J23="",J23="NA"),0,IF(AND(J23&gt;=0,F23&gt;=0),(J23-F23),0)),-1)</f>
        <v>0</v>
      </c>
      <c r="S23" s="24"/>
      <c r="T23" s="25" t="str">
        <f aca="false">IF(S23="Yes","Report","No Action")</f>
        <v>No Action</v>
      </c>
      <c r="U23" s="26"/>
    </row>
    <row r="24" customFormat="false" ht="15.75" hidden="false" customHeight="true" outlineLevel="0" collapsed="false">
      <c r="A24" s="20" t="s">
        <v>34</v>
      </c>
      <c r="B24" s="21" t="s">
        <v>44</v>
      </c>
      <c r="C24" s="22" t="n">
        <v>486047</v>
      </c>
      <c r="D24" s="22" t="n">
        <v>9721.91</v>
      </c>
      <c r="E24" s="22" t="n">
        <v>486047</v>
      </c>
      <c r="F24" s="23" t="n">
        <f aca="false">D24</f>
        <v>9721.91</v>
      </c>
      <c r="G24" s="23" t="n">
        <f aca="false">E24</f>
        <v>486047</v>
      </c>
      <c r="H24" s="23" t="s">
        <v>28</v>
      </c>
      <c r="I24" s="24"/>
      <c r="J24" s="24"/>
      <c r="K24" s="25" t="n">
        <f aca="false">ROUND(IF(OR(C24="NA",E24="NA"),0,IF(AND(C24&gt;0,E24&gt;0),(C24-E24),0)),-1)</f>
        <v>0</v>
      </c>
      <c r="L24" s="25" t="n">
        <f aca="false">ROUND(IF(OR(D24="NA",F24="NA"),0,IF(AND(D24&gt;0,F24&gt;0),(D24-F24),0)),-1)</f>
        <v>0</v>
      </c>
      <c r="M24" s="25" t="n">
        <f aca="false">ROUND(IF(OR(C24="NA",G24="NA"),0,IF(AND(C24&gt;=0,G24&gt;=0),(C24-G24),0)),-1)</f>
        <v>0</v>
      </c>
      <c r="N24" s="25" t="n">
        <f aca="false">ROUND(IF(OR(D24="NA",H24="NA"),0,IF(AND(D24&gt;=0,H24&gt;=0),(D24-H24),0)),-1)</f>
        <v>0</v>
      </c>
      <c r="O24" s="25" t="n">
        <f aca="false">ROUND(IF(OR(E24="NA",G24="NA"),0,IF(AND(G24&gt;=0,E24&gt;=0),(E24-G24),0)),-1)</f>
        <v>0</v>
      </c>
      <c r="P24" s="25" t="n">
        <f aca="false">ROUND(IF(OR(F24="NA",H24="NA"),0,IF(AND(F24&gt;=0,H24&gt;=0),(F24-H24),0)),-1)</f>
        <v>0</v>
      </c>
      <c r="Q24" s="25" t="n">
        <f aca="false">ROUND(IF(OR(E24="NA",I24="",I24="NA"),0,IF(AND(E24&gt;=0,I24&gt;=0,E24&gt;I24),(E24-I24),0)),-1)</f>
        <v>0</v>
      </c>
      <c r="R24" s="25" t="n">
        <f aca="false">ROUND(IF(OR(F24="NA",J24="",J24="NA"),0,IF(AND(J24&gt;=0,F24&gt;=0),(J24-F24),0)),-1)</f>
        <v>0</v>
      </c>
      <c r="S24" s="24"/>
      <c r="T24" s="25" t="str">
        <f aca="false">IF(S24="Yes","Report","No Action")</f>
        <v>No Action</v>
      </c>
      <c r="U24" s="26"/>
    </row>
    <row r="25" customFormat="false" ht="15.75" hidden="false" customHeight="true" outlineLevel="0" collapsed="false">
      <c r="A25" s="20" t="s">
        <v>34</v>
      </c>
      <c r="B25" s="21" t="s">
        <v>45</v>
      </c>
      <c r="C25" s="22" t="n">
        <v>484237</v>
      </c>
      <c r="D25" s="22" t="n">
        <v>9683</v>
      </c>
      <c r="E25" s="22" t="n">
        <v>484237</v>
      </c>
      <c r="F25" s="23" t="n">
        <f aca="false">D25</f>
        <v>9683</v>
      </c>
      <c r="G25" s="23" t="n">
        <f aca="false">E25</f>
        <v>484237</v>
      </c>
      <c r="H25" s="23" t="s">
        <v>28</v>
      </c>
      <c r="I25" s="24"/>
      <c r="J25" s="24"/>
      <c r="K25" s="25" t="n">
        <f aca="false">ROUND(IF(OR(C25="NA",E25="NA"),0,IF(AND(C25&gt;0,E25&gt;0),(C25-E25),0)),-1)</f>
        <v>0</v>
      </c>
      <c r="L25" s="25" t="n">
        <f aca="false">ROUND(IF(OR(D25="NA",F25="NA"),0,IF(AND(D25&gt;0,F25&gt;0),(D25-F25),0)),-1)</f>
        <v>0</v>
      </c>
      <c r="M25" s="25" t="n">
        <f aca="false">ROUND(IF(OR(C25="NA",G25="NA"),0,IF(AND(C25&gt;=0,G25&gt;=0),(C25-G25),0)),-1)</f>
        <v>0</v>
      </c>
      <c r="N25" s="25" t="n">
        <f aca="false">ROUND(IF(OR(D25="NA",H25="NA"),0,IF(AND(D25&gt;=0,H25&gt;=0),(D25-H25),0)),-1)</f>
        <v>0</v>
      </c>
      <c r="O25" s="25" t="n">
        <f aca="false">ROUND(IF(OR(E25="NA",G25="NA"),0,IF(AND(G25&gt;=0,E25&gt;=0),(E25-G25),0)),-1)</f>
        <v>0</v>
      </c>
      <c r="P25" s="25" t="n">
        <f aca="false">ROUND(IF(OR(F25="NA",H25="NA"),0,IF(AND(F25&gt;=0,H25&gt;=0),(F25-H25),0)),-1)</f>
        <v>0</v>
      </c>
      <c r="Q25" s="25" t="n">
        <f aca="false">ROUND(IF(OR(E25="NA",I25="",I25="NA"),0,IF(AND(E25&gt;=0,I25&gt;=0,E25&gt;I25),(E25-I25),0)),-1)</f>
        <v>0</v>
      </c>
      <c r="R25" s="25" t="n">
        <f aca="false">ROUND(IF(OR(F25="NA",J25="",J25="NA"),0,IF(AND(J25&gt;=0,F25&gt;=0),(J25-F25),0)),-1)</f>
        <v>0</v>
      </c>
      <c r="S25" s="24"/>
      <c r="T25" s="25" t="str">
        <f aca="false">IF(S25="Yes","Report","No Action")</f>
        <v>No Action</v>
      </c>
      <c r="U25" s="26"/>
    </row>
    <row r="26" customFormat="false" ht="15.75" hidden="false" customHeight="true" outlineLevel="0" collapsed="false">
      <c r="A26" s="20" t="s">
        <v>34</v>
      </c>
      <c r="B26" s="21" t="s">
        <v>27</v>
      </c>
      <c r="C26" s="22" t="n">
        <v>451539</v>
      </c>
      <c r="D26" s="22" t="n">
        <v>9029.86</v>
      </c>
      <c r="E26" s="22" t="n">
        <v>451539</v>
      </c>
      <c r="F26" s="23" t="n">
        <f aca="false">D26</f>
        <v>9029.86</v>
      </c>
      <c r="G26" s="23" t="n">
        <f aca="false">E26</f>
        <v>451539</v>
      </c>
      <c r="H26" s="23" t="s">
        <v>28</v>
      </c>
      <c r="I26" s="24"/>
      <c r="J26" s="24"/>
      <c r="K26" s="25" t="n">
        <f aca="false">ROUND(IF(OR(C26="NA",E26="NA"),0,IF(AND(C26&gt;0,E26&gt;0),(C26-E26),0)),-1)</f>
        <v>0</v>
      </c>
      <c r="L26" s="25" t="n">
        <f aca="false">ROUND(IF(OR(D26="NA",F26="NA"),0,IF(AND(D26&gt;0,F26&gt;0),(D26-F26),0)),-1)</f>
        <v>0</v>
      </c>
      <c r="M26" s="25" t="n">
        <f aca="false">ROUND(IF(OR(C26="NA",G26="NA"),0,IF(AND(C26&gt;=0,G26&gt;=0),(C26-G26),0)),-1)</f>
        <v>0</v>
      </c>
      <c r="N26" s="25" t="n">
        <f aca="false">ROUND(IF(OR(D26="NA",H26="NA"),0,IF(AND(D26&gt;=0,H26&gt;=0),(D26-H26),0)),-1)</f>
        <v>0</v>
      </c>
      <c r="O26" s="25" t="n">
        <f aca="false">ROUND(IF(OR(E26="NA",G26="NA"),0,IF(AND(G26&gt;=0,E26&gt;=0),(E26-G26),0)),-1)</f>
        <v>0</v>
      </c>
      <c r="P26" s="25" t="n">
        <f aca="false">ROUND(IF(OR(F26="NA",H26="NA"),0,IF(AND(F26&gt;=0,H26&gt;=0),(F26-H26),0)),-1)</f>
        <v>0</v>
      </c>
      <c r="Q26" s="25" t="n">
        <f aca="false">ROUND(IF(OR(E26="NA",I26="",I26="NA"),0,IF(AND(E26&gt;=0,I26&gt;=0,E26&gt;I26),(E26-I26),0)),-1)</f>
        <v>0</v>
      </c>
      <c r="R26" s="25" t="n">
        <f aca="false">ROUND(IF(OR(F26="NA",J26="",J26="NA"),0,IF(AND(J26&gt;=0,F26&gt;=0),(J26-F26),0)),-1)</f>
        <v>0</v>
      </c>
      <c r="S26" s="24"/>
      <c r="T26" s="25" t="str">
        <f aca="false">IF(S26="Yes","Report","No Action")</f>
        <v>No Action</v>
      </c>
      <c r="U26" s="26" t="s">
        <v>46</v>
      </c>
    </row>
    <row r="27" customFormat="false" ht="15.75" hidden="false" customHeight="true" outlineLevel="0" collapsed="false">
      <c r="A27" s="20" t="s">
        <v>34</v>
      </c>
      <c r="B27" s="21" t="s">
        <v>47</v>
      </c>
      <c r="C27" s="22" t="n">
        <v>371155</v>
      </c>
      <c r="D27" s="22" t="n">
        <v>7422.58</v>
      </c>
      <c r="E27" s="22" t="n">
        <v>371155</v>
      </c>
      <c r="F27" s="23" t="n">
        <f aca="false">D27</f>
        <v>7422.58</v>
      </c>
      <c r="G27" s="23" t="n">
        <f aca="false">E27</f>
        <v>371155</v>
      </c>
      <c r="H27" s="23" t="s">
        <v>28</v>
      </c>
      <c r="I27" s="24"/>
      <c r="J27" s="24"/>
      <c r="K27" s="25" t="n">
        <f aca="false">ROUND(IF(OR(C27="NA",E27="NA"),0,IF(AND(C27&gt;0,E27&gt;0),(C27-E27),0)),-1)</f>
        <v>0</v>
      </c>
      <c r="L27" s="25" t="n">
        <f aca="false">ROUND(IF(OR(D27="NA",F27="NA"),0,IF(AND(D27&gt;0,F27&gt;0),(D27-F27),0)),-1)</f>
        <v>0</v>
      </c>
      <c r="M27" s="25" t="n">
        <f aca="false">ROUND(IF(OR(C27="NA",G27="NA"),0,IF(AND(C27&gt;=0,G27&gt;=0),(C27-G27),0)),-1)</f>
        <v>0</v>
      </c>
      <c r="N27" s="25" t="n">
        <f aca="false">ROUND(IF(OR(D27="NA",H27="NA"),0,IF(AND(D27&gt;=0,H27&gt;=0),(D27-H27),0)),-1)</f>
        <v>0</v>
      </c>
      <c r="O27" s="25" t="n">
        <f aca="false">ROUND(IF(OR(E27="NA",G27="NA"),0,IF(AND(G27&gt;=0,E27&gt;=0),(E27-G27),0)),-1)</f>
        <v>0</v>
      </c>
      <c r="P27" s="25" t="n">
        <f aca="false">ROUND(IF(OR(F27="NA",H27="NA"),0,IF(AND(F27&gt;=0,H27&gt;=0),(F27-H27),0)),-1)</f>
        <v>0</v>
      </c>
      <c r="Q27" s="25" t="n">
        <f aca="false">ROUND(IF(OR(E27="NA",I27="",I27="NA"),0,IF(AND(E27&gt;=0,I27&gt;=0,E27&gt;I27),(E27-I27),0)),-1)</f>
        <v>0</v>
      </c>
      <c r="R27" s="25" t="n">
        <f aca="false">ROUND(IF(OR(F27="NA",J27="",J27="NA"),0,IF(AND(J27&gt;=0,F27&gt;=0),(J27-F27),0)),-1)</f>
        <v>0</v>
      </c>
      <c r="S27" s="24"/>
      <c r="T27" s="25" t="str">
        <f aca="false">IF(S27="Yes","Report","No Action")</f>
        <v>No Action</v>
      </c>
      <c r="U27" s="26"/>
    </row>
    <row r="28" customFormat="false" ht="15.75" hidden="false" customHeight="true" outlineLevel="0" collapsed="false">
      <c r="A28" s="20" t="s">
        <v>34</v>
      </c>
      <c r="B28" s="21" t="s">
        <v>48</v>
      </c>
      <c r="C28" s="22" t="n">
        <v>362195</v>
      </c>
      <c r="D28" s="22" t="n">
        <v>7243</v>
      </c>
      <c r="E28" s="22" t="n">
        <v>362195</v>
      </c>
      <c r="F28" s="23" t="n">
        <f aca="false">D28</f>
        <v>7243</v>
      </c>
      <c r="G28" s="23" t="n">
        <f aca="false">E28</f>
        <v>362195</v>
      </c>
      <c r="H28" s="23" t="s">
        <v>28</v>
      </c>
      <c r="I28" s="24"/>
      <c r="J28" s="24"/>
      <c r="K28" s="25" t="n">
        <f aca="false">ROUND(IF(OR(C28="NA",E28="NA"),0,IF(AND(C28&gt;0,E28&gt;0),(C28-E28),0)),-1)</f>
        <v>0</v>
      </c>
      <c r="L28" s="25" t="n">
        <f aca="false">ROUND(IF(OR(D28="NA",F28="NA"),0,IF(AND(D28&gt;0,F28&gt;0),(D28-F28),0)),-1)</f>
        <v>0</v>
      </c>
      <c r="M28" s="25" t="n">
        <f aca="false">ROUND(IF(OR(C28="NA",G28="NA"),0,IF(AND(C28&gt;=0,G28&gt;=0),(C28-G28),0)),-1)</f>
        <v>0</v>
      </c>
      <c r="N28" s="25" t="n">
        <f aca="false">ROUND(IF(OR(D28="NA",H28="NA"),0,IF(AND(D28&gt;=0,H28&gt;=0),(D28-H28),0)),-1)</f>
        <v>0</v>
      </c>
      <c r="O28" s="25" t="n">
        <f aca="false">ROUND(IF(OR(E28="NA",G28="NA"),0,IF(AND(G28&gt;=0,E28&gt;=0),(E28-G28),0)),-1)</f>
        <v>0</v>
      </c>
      <c r="P28" s="25" t="n">
        <f aca="false">ROUND(IF(OR(F28="NA",H28="NA"),0,IF(AND(F28&gt;=0,H28&gt;=0),(F28-H28),0)),-1)</f>
        <v>0</v>
      </c>
      <c r="Q28" s="25" t="n">
        <f aca="false">ROUND(IF(OR(E28="NA",I28="",I28="NA"),0,IF(AND(E28&gt;=0,I28&gt;=0,E28&gt;I28),(E28-I28),0)),-1)</f>
        <v>0</v>
      </c>
      <c r="R28" s="25" t="n">
        <f aca="false">ROUND(IF(OR(F28="NA",J28="",J28="NA"),0,IF(AND(J28&gt;=0,F28&gt;=0),(J28-F28),0)),-1)</f>
        <v>0</v>
      </c>
      <c r="S28" s="24"/>
      <c r="T28" s="25" t="str">
        <f aca="false">IF(S28="Yes","Report","No Action")</f>
        <v>No Action</v>
      </c>
      <c r="U28" s="26"/>
    </row>
    <row r="29" customFormat="false" ht="15.75" hidden="false" customHeight="true" outlineLevel="0" collapsed="false">
      <c r="A29" s="20" t="s">
        <v>34</v>
      </c>
      <c r="B29" s="21" t="s">
        <v>49</v>
      </c>
      <c r="C29" s="22" t="n">
        <v>300997</v>
      </c>
      <c r="D29" s="22" t="n">
        <v>6020.22</v>
      </c>
      <c r="E29" s="22" t="n">
        <v>300997</v>
      </c>
      <c r="F29" s="23" t="n">
        <f aca="false">D29</f>
        <v>6020.22</v>
      </c>
      <c r="G29" s="23" t="n">
        <f aca="false">E29</f>
        <v>300997</v>
      </c>
      <c r="H29" s="23" t="s">
        <v>28</v>
      </c>
      <c r="I29" s="24"/>
      <c r="J29" s="24"/>
      <c r="K29" s="25" t="n">
        <f aca="false">ROUND(IF(OR(C29="NA",E29="NA"),0,IF(AND(C29&gt;0,E29&gt;0),(C29-E29),0)),-1)</f>
        <v>0</v>
      </c>
      <c r="L29" s="25" t="n">
        <f aca="false">ROUND(IF(OR(D29="NA",F29="NA"),0,IF(AND(D29&gt;0,F29&gt;0),(D29-F29),0)),-1)</f>
        <v>0</v>
      </c>
      <c r="M29" s="25" t="n">
        <f aca="false">ROUND(IF(OR(C29="NA",G29="NA"),0,IF(AND(C29&gt;=0,G29&gt;=0),(C29-G29),0)),-1)</f>
        <v>0</v>
      </c>
      <c r="N29" s="25" t="n">
        <f aca="false">ROUND(IF(OR(D29="NA",H29="NA"),0,IF(AND(D29&gt;=0,H29&gt;=0),(D29-H29),0)),-1)</f>
        <v>0</v>
      </c>
      <c r="O29" s="25" t="n">
        <f aca="false">ROUND(IF(OR(E29="NA",G29="NA"),0,IF(AND(G29&gt;=0,E29&gt;=0),(E29-G29),0)),-1)</f>
        <v>0</v>
      </c>
      <c r="P29" s="25" t="n">
        <f aca="false">ROUND(IF(OR(F29="NA",H29="NA"),0,IF(AND(F29&gt;=0,H29&gt;=0),(F29-H29),0)),-1)</f>
        <v>0</v>
      </c>
      <c r="Q29" s="25" t="n">
        <f aca="false">ROUND(IF(OR(E29="NA",I29="",I29="NA"),0,IF(AND(E29&gt;=0,I29&gt;=0,E29&gt;I29),(E29-I29),0)),-1)</f>
        <v>0</v>
      </c>
      <c r="R29" s="25" t="n">
        <f aca="false">ROUND(IF(OR(F29="NA",J29="",J29="NA"),0,IF(AND(J29&gt;=0,F29&gt;=0),(J29-F29),0)),-1)</f>
        <v>0</v>
      </c>
      <c r="S29" s="24"/>
      <c r="T29" s="25" t="str">
        <f aca="false">IF(S29="Yes","Report","No Action")</f>
        <v>No Action</v>
      </c>
      <c r="U29" s="26"/>
    </row>
    <row r="30" customFormat="false" ht="15.75" hidden="false" customHeight="true" outlineLevel="0" collapsed="false">
      <c r="A30" s="20" t="s">
        <v>34</v>
      </c>
      <c r="B30" s="21" t="s">
        <v>50</v>
      </c>
      <c r="C30" s="22" t="n">
        <v>230463</v>
      </c>
      <c r="D30" s="22" t="n">
        <v>4610</v>
      </c>
      <c r="E30" s="22" t="n">
        <v>230463</v>
      </c>
      <c r="F30" s="23" t="n">
        <f aca="false">D30</f>
        <v>4610</v>
      </c>
      <c r="G30" s="23" t="n">
        <f aca="false">E30</f>
        <v>230463</v>
      </c>
      <c r="H30" s="23" t="s">
        <v>28</v>
      </c>
      <c r="I30" s="24"/>
      <c r="J30" s="24"/>
      <c r="K30" s="25" t="n">
        <f aca="false">ROUND(IF(OR(C30="NA",E30="NA"),0,IF(AND(C30&gt;0,E30&gt;0),(C30-E30),0)),-1)</f>
        <v>0</v>
      </c>
      <c r="L30" s="25" t="n">
        <f aca="false">ROUND(IF(OR(D30="NA",F30="NA"),0,IF(AND(D30&gt;0,F30&gt;0),(D30-F30),0)),-1)</f>
        <v>0</v>
      </c>
      <c r="M30" s="25" t="n">
        <f aca="false">ROUND(IF(OR(C30="NA",G30="NA"),0,IF(AND(C30&gt;=0,G30&gt;=0),(C30-G30),0)),-1)</f>
        <v>0</v>
      </c>
      <c r="N30" s="25" t="n">
        <f aca="false">ROUND(IF(OR(D30="NA",H30="NA"),0,IF(AND(D30&gt;=0,H30&gt;=0),(D30-H30),0)),-1)</f>
        <v>0</v>
      </c>
      <c r="O30" s="25" t="n">
        <f aca="false">ROUND(IF(OR(E30="NA",G30="NA"),0,IF(AND(G30&gt;=0,E30&gt;=0),(E30-G30),0)),-1)</f>
        <v>0</v>
      </c>
      <c r="P30" s="25" t="n">
        <f aca="false">ROUND(IF(OR(F30="NA",H30="NA"),0,IF(AND(F30&gt;=0,H30&gt;=0),(F30-H30),0)),-1)</f>
        <v>0</v>
      </c>
      <c r="Q30" s="25" t="n">
        <f aca="false">ROUND(IF(OR(E30="NA",I30="",I30="NA"),0,IF(AND(E30&gt;=0,I30&gt;=0,E30&gt;I30),(E30-I30),0)),-1)</f>
        <v>0</v>
      </c>
      <c r="R30" s="25" t="n">
        <f aca="false">ROUND(IF(OR(F30="NA",J30="",J30="NA"),0,IF(AND(J30&gt;=0,F30&gt;=0),(J30-F30),0)),-1)</f>
        <v>0</v>
      </c>
      <c r="S30" s="24"/>
      <c r="T30" s="25" t="str">
        <f aca="false">IF(S30="Yes","Report","No Action")</f>
        <v>No Action</v>
      </c>
      <c r="U30" s="26"/>
    </row>
    <row r="31" customFormat="false" ht="15.75" hidden="false" customHeight="true" outlineLevel="0" collapsed="false">
      <c r="A31" s="20" t="s">
        <v>34</v>
      </c>
      <c r="B31" s="21" t="s">
        <v>31</v>
      </c>
      <c r="C31" s="22" t="n">
        <v>229168</v>
      </c>
      <c r="D31" s="22" t="n">
        <v>4584</v>
      </c>
      <c r="E31" s="22" t="n">
        <v>229168</v>
      </c>
      <c r="F31" s="23" t="n">
        <f aca="false">D31</f>
        <v>4584</v>
      </c>
      <c r="G31" s="23" t="n">
        <f aca="false">E31</f>
        <v>229168</v>
      </c>
      <c r="H31" s="23" t="s">
        <v>28</v>
      </c>
      <c r="I31" s="24"/>
      <c r="J31" s="24"/>
      <c r="K31" s="25" t="n">
        <f aca="false">ROUND(IF(OR(C31="NA",E31="NA"),0,IF(AND(C31&gt;0,E31&gt;0),(C31-E31),0)),-1)</f>
        <v>0</v>
      </c>
      <c r="L31" s="25" t="n">
        <f aca="false">ROUND(IF(OR(D31="NA",F31="NA"),0,IF(AND(D31&gt;0,F31&gt;0),(D31-F31),0)),-1)</f>
        <v>0</v>
      </c>
      <c r="M31" s="25" t="n">
        <f aca="false">ROUND(IF(OR(C31="NA",G31="NA"),0,IF(AND(C31&gt;=0,G31&gt;=0),(C31-G31),0)),-1)</f>
        <v>0</v>
      </c>
      <c r="N31" s="25" t="n">
        <f aca="false">ROUND(IF(OR(D31="NA",H31="NA"),0,IF(AND(D31&gt;=0,H31&gt;=0),(D31-H31),0)),-1)</f>
        <v>0</v>
      </c>
      <c r="O31" s="25" t="n">
        <f aca="false">ROUND(IF(OR(E31="NA",G31="NA"),0,IF(AND(G31&gt;=0,E31&gt;=0),(E31-G31),0)),-1)</f>
        <v>0</v>
      </c>
      <c r="P31" s="25" t="n">
        <f aca="false">ROUND(IF(OR(F31="NA",H31="NA"),0,IF(AND(F31&gt;=0,H31&gt;=0),(F31-H31),0)),-1)</f>
        <v>0</v>
      </c>
      <c r="Q31" s="25" t="n">
        <f aca="false">ROUND(IF(OR(E31="NA",I31="",I31="NA"),0,IF(AND(E31&gt;=0,I31&gt;=0,E31&gt;I31),(E31-I31),0)),-1)</f>
        <v>0</v>
      </c>
      <c r="R31" s="25" t="n">
        <f aca="false">ROUND(IF(OR(F31="NA",J31="",J31="NA"),0,IF(AND(J31&gt;=0,F31&gt;=0),(J31-F31),0)),-1)</f>
        <v>0</v>
      </c>
      <c r="S31" s="24"/>
      <c r="T31" s="25" t="str">
        <f aca="false">IF(S31="Yes","Report","No Action")</f>
        <v>No Action</v>
      </c>
      <c r="U31" s="26"/>
    </row>
    <row r="32" customFormat="false" ht="15.75" hidden="false" customHeight="true" outlineLevel="0" collapsed="false">
      <c r="A32" s="20" t="s">
        <v>34</v>
      </c>
      <c r="B32" s="21" t="s">
        <v>51</v>
      </c>
      <c r="C32" s="22" t="n">
        <v>203604</v>
      </c>
      <c r="D32" s="22" t="n">
        <v>4072</v>
      </c>
      <c r="E32" s="22" t="n">
        <v>203604</v>
      </c>
      <c r="F32" s="23" t="n">
        <f aca="false">D32</f>
        <v>4072</v>
      </c>
      <c r="G32" s="23" t="n">
        <f aca="false">E32</f>
        <v>203604</v>
      </c>
      <c r="H32" s="23" t="s">
        <v>28</v>
      </c>
      <c r="I32" s="24"/>
      <c r="J32" s="24"/>
      <c r="K32" s="25" t="n">
        <f aca="false">ROUND(IF(OR(C32="NA",E32="NA"),0,IF(AND(C32&gt;0,E32&gt;0),(C32-E32),0)),-1)</f>
        <v>0</v>
      </c>
      <c r="L32" s="25" t="n">
        <f aca="false">ROUND(IF(OR(D32="NA",F32="NA"),0,IF(AND(D32&gt;0,F32&gt;0),(D32-F32),0)),-1)</f>
        <v>0</v>
      </c>
      <c r="M32" s="25" t="n">
        <f aca="false">ROUND(IF(OR(C32="NA",G32="NA"),0,IF(AND(C32&gt;=0,G32&gt;=0),(C32-G32),0)),-1)</f>
        <v>0</v>
      </c>
      <c r="N32" s="25" t="n">
        <f aca="false">ROUND(IF(OR(D32="NA",H32="NA"),0,IF(AND(D32&gt;=0,H32&gt;=0),(D32-H32),0)),-1)</f>
        <v>0</v>
      </c>
      <c r="O32" s="25" t="n">
        <f aca="false">ROUND(IF(OR(E32="NA",G32="NA"),0,IF(AND(G32&gt;=0,E32&gt;=0),(E32-G32),0)),-1)</f>
        <v>0</v>
      </c>
      <c r="P32" s="25" t="n">
        <f aca="false">ROUND(IF(OR(F32="NA",H32="NA"),0,IF(AND(F32&gt;=0,H32&gt;=0),(F32-H32),0)),-1)</f>
        <v>0</v>
      </c>
      <c r="Q32" s="25" t="n">
        <f aca="false">ROUND(IF(OR(E32="NA",I32="",I32="NA"),0,IF(AND(E32&gt;=0,I32&gt;=0,E32&gt;I32),(E32-I32),0)),-1)</f>
        <v>0</v>
      </c>
      <c r="R32" s="25" t="n">
        <f aca="false">ROUND(IF(OR(F32="NA",J32="",J32="NA"),0,IF(AND(J32&gt;=0,F32&gt;=0),(J32-F32),0)),-1)</f>
        <v>0</v>
      </c>
      <c r="S32" s="24"/>
      <c r="T32" s="25" t="str">
        <f aca="false">IF(S32="Yes","Report","No Action")</f>
        <v>No Action</v>
      </c>
      <c r="U32" s="26"/>
    </row>
    <row r="33" customFormat="false" ht="15.75" hidden="false" customHeight="true" outlineLevel="0" collapsed="false">
      <c r="A33" s="20" t="s">
        <v>34</v>
      </c>
      <c r="B33" s="21" t="s">
        <v>52</v>
      </c>
      <c r="C33" s="22" t="n">
        <v>174815</v>
      </c>
      <c r="D33" s="22" t="n">
        <v>3496</v>
      </c>
      <c r="E33" s="22" t="n">
        <v>174815</v>
      </c>
      <c r="F33" s="23" t="n">
        <f aca="false">D33</f>
        <v>3496</v>
      </c>
      <c r="G33" s="23" t="n">
        <f aca="false">E33</f>
        <v>174815</v>
      </c>
      <c r="H33" s="23" t="s">
        <v>28</v>
      </c>
      <c r="I33" s="24"/>
      <c r="J33" s="24"/>
      <c r="K33" s="25" t="n">
        <f aca="false">ROUND(IF(OR(C33="NA",E33="NA"),0,IF(AND(C33&gt;0,E33&gt;0),(C33-E33),0)),-1)</f>
        <v>0</v>
      </c>
      <c r="L33" s="25" t="n">
        <f aca="false">ROUND(IF(OR(D33="NA",F33="NA"),0,IF(AND(D33&gt;0,F33&gt;0),(D33-F33),0)),-1)</f>
        <v>0</v>
      </c>
      <c r="M33" s="25" t="n">
        <f aca="false">ROUND(IF(OR(C33="NA",G33="NA"),0,IF(AND(C33&gt;=0,G33&gt;=0),(C33-G33),0)),-1)</f>
        <v>0</v>
      </c>
      <c r="N33" s="25" t="n">
        <f aca="false">ROUND(IF(OR(D33="NA",H33="NA"),0,IF(AND(D33&gt;=0,H33&gt;=0),(D33-H33),0)),-1)</f>
        <v>0</v>
      </c>
      <c r="O33" s="25" t="n">
        <f aca="false">ROUND(IF(OR(E33="NA",G33="NA"),0,IF(AND(G33&gt;=0,E33&gt;=0),(E33-G33),0)),-1)</f>
        <v>0</v>
      </c>
      <c r="P33" s="25" t="n">
        <f aca="false">ROUND(IF(OR(F33="NA",H33="NA"),0,IF(AND(F33&gt;=0,H33&gt;=0),(F33-H33),0)),-1)</f>
        <v>0</v>
      </c>
      <c r="Q33" s="25" t="n">
        <f aca="false">ROUND(IF(OR(E33="NA",I33="",I33="NA"),0,IF(AND(E33&gt;=0,I33&gt;=0,E33&gt;I33),(E33-I33),0)),-1)</f>
        <v>0</v>
      </c>
      <c r="R33" s="25" t="n">
        <f aca="false">ROUND(IF(OR(F33="NA",J33="",J33="NA"),0,IF(AND(J33&gt;=0,F33&gt;=0),(J33-F33),0)),-1)</f>
        <v>0</v>
      </c>
      <c r="S33" s="24"/>
      <c r="T33" s="25" t="str">
        <f aca="false">IF(S33="Yes","Report","No Action")</f>
        <v>No Action</v>
      </c>
      <c r="U33" s="26"/>
    </row>
    <row r="34" customFormat="false" ht="15.75" hidden="false" customHeight="true" outlineLevel="0" collapsed="false">
      <c r="A34" s="20" t="s">
        <v>34</v>
      </c>
      <c r="B34" s="21" t="s">
        <v>53</v>
      </c>
      <c r="C34" s="22" t="n">
        <v>167424</v>
      </c>
      <c r="D34" s="22" t="n">
        <v>3351</v>
      </c>
      <c r="E34" s="22" t="n">
        <v>167424</v>
      </c>
      <c r="F34" s="23" t="n">
        <f aca="false">D34</f>
        <v>3351</v>
      </c>
      <c r="G34" s="23" t="n">
        <f aca="false">E34</f>
        <v>167424</v>
      </c>
      <c r="H34" s="23" t="s">
        <v>28</v>
      </c>
      <c r="I34" s="24"/>
      <c r="J34" s="24"/>
      <c r="K34" s="25" t="n">
        <f aca="false">ROUND(IF(OR(C34="NA",E34="NA"),0,IF(AND(C34&gt;0,E34&gt;0),(C34-E34),0)),-1)</f>
        <v>0</v>
      </c>
      <c r="L34" s="25" t="n">
        <f aca="false">ROUND(IF(OR(D34="NA",F34="NA"),0,IF(AND(D34&gt;0,F34&gt;0),(D34-F34),0)),-1)</f>
        <v>0</v>
      </c>
      <c r="M34" s="25" t="n">
        <f aca="false">ROUND(IF(OR(C34="NA",G34="NA"),0,IF(AND(C34&gt;=0,G34&gt;=0),(C34-G34),0)),-1)</f>
        <v>0</v>
      </c>
      <c r="N34" s="25" t="n">
        <f aca="false">ROUND(IF(OR(D34="NA",H34="NA"),0,IF(AND(D34&gt;=0,H34&gt;=0),(D34-H34),0)),-1)</f>
        <v>0</v>
      </c>
      <c r="O34" s="25" t="n">
        <f aca="false">ROUND(IF(OR(E34="NA",G34="NA"),0,IF(AND(G34&gt;=0,E34&gt;=0),(E34-G34),0)),-1)</f>
        <v>0</v>
      </c>
      <c r="P34" s="25" t="n">
        <f aca="false">ROUND(IF(OR(F34="NA",H34="NA"),0,IF(AND(F34&gt;=0,H34&gt;=0),(F34-H34),0)),-1)</f>
        <v>0</v>
      </c>
      <c r="Q34" s="25" t="n">
        <f aca="false">ROUND(IF(OR(E34="NA",I34="",I34="NA"),0,IF(AND(E34&gt;=0,I34&gt;=0,E34&gt;I34),(E34-I34),0)),-1)</f>
        <v>0</v>
      </c>
      <c r="R34" s="25" t="n">
        <f aca="false">ROUND(IF(OR(F34="NA",J34="",J34="NA"),0,IF(AND(J34&gt;=0,F34&gt;=0),(J34-F34),0)),-1)</f>
        <v>0</v>
      </c>
      <c r="S34" s="24"/>
      <c r="T34" s="25" t="str">
        <f aca="false">IF(S34="Yes","Report","No Action")</f>
        <v>No Action</v>
      </c>
      <c r="U34" s="26"/>
    </row>
    <row r="35" customFormat="false" ht="15.75" hidden="false" customHeight="true" outlineLevel="0" collapsed="false">
      <c r="A35" s="20" t="s">
        <v>34</v>
      </c>
      <c r="B35" s="21" t="s">
        <v>54</v>
      </c>
      <c r="C35" s="22" t="n">
        <v>150546</v>
      </c>
      <c r="D35" s="22" t="n">
        <v>3012</v>
      </c>
      <c r="E35" s="22" t="n">
        <v>150546</v>
      </c>
      <c r="F35" s="23" t="n">
        <f aca="false">D35</f>
        <v>3012</v>
      </c>
      <c r="G35" s="23" t="n">
        <f aca="false">E35</f>
        <v>150546</v>
      </c>
      <c r="H35" s="23" t="s">
        <v>28</v>
      </c>
      <c r="I35" s="24"/>
      <c r="J35" s="24"/>
      <c r="K35" s="25" t="n">
        <f aca="false">ROUND(IF(OR(C35="NA",E35="NA"),0,IF(AND(C35&gt;0,E35&gt;0),(C35-E35),0)),-1)</f>
        <v>0</v>
      </c>
      <c r="L35" s="25" t="n">
        <f aca="false">ROUND(IF(OR(D35="NA",F35="NA"),0,IF(AND(D35&gt;0,F35&gt;0),(D35-F35),0)),-1)</f>
        <v>0</v>
      </c>
      <c r="M35" s="25" t="n">
        <f aca="false">ROUND(IF(OR(C35="NA",G35="NA"),0,IF(AND(C35&gt;=0,G35&gt;=0),(C35-G35),0)),-1)</f>
        <v>0</v>
      </c>
      <c r="N35" s="25" t="n">
        <f aca="false">ROUND(IF(OR(D35="NA",H35="NA"),0,IF(AND(D35&gt;=0,H35&gt;=0),(D35-H35),0)),-1)</f>
        <v>0</v>
      </c>
      <c r="O35" s="25" t="n">
        <f aca="false">ROUND(IF(OR(E35="NA",G35="NA"),0,IF(AND(G35&gt;=0,E35&gt;=0),(E35-G35),0)),-1)</f>
        <v>0</v>
      </c>
      <c r="P35" s="25" t="n">
        <f aca="false">ROUND(IF(OR(F35="NA",H35="NA"),0,IF(AND(F35&gt;=0,H35&gt;=0),(F35-H35),0)),-1)</f>
        <v>0</v>
      </c>
      <c r="Q35" s="25" t="n">
        <f aca="false">ROUND(IF(OR(E35="NA",I35="",I35="NA"),0,IF(AND(E35&gt;=0,I35&gt;=0,E35&gt;I35),(E35-I35),0)),-1)</f>
        <v>0</v>
      </c>
      <c r="R35" s="25" t="n">
        <f aca="false">ROUND(IF(OR(F35="NA",J35="",J35="NA"),0,IF(AND(J35&gt;=0,F35&gt;=0),(J35-F35),0)),-1)</f>
        <v>0</v>
      </c>
      <c r="S35" s="24"/>
      <c r="T35" s="25" t="str">
        <f aca="false">IF(S35="Yes","Report","No Action")</f>
        <v>No Action</v>
      </c>
      <c r="U35" s="26"/>
    </row>
    <row r="36" customFormat="false" ht="15.75" hidden="false" customHeight="true" outlineLevel="0" collapsed="false">
      <c r="A36" s="20" t="s">
        <v>34</v>
      </c>
      <c r="B36" s="21" t="s">
        <v>55</v>
      </c>
      <c r="C36" s="22" t="n">
        <v>146888</v>
      </c>
      <c r="D36" s="22" t="n">
        <v>2938</v>
      </c>
      <c r="E36" s="22" t="n">
        <v>146888</v>
      </c>
      <c r="F36" s="23" t="n">
        <f aca="false">D36</f>
        <v>2938</v>
      </c>
      <c r="G36" s="23" t="n">
        <f aca="false">E36</f>
        <v>146888</v>
      </c>
      <c r="H36" s="23" t="s">
        <v>28</v>
      </c>
      <c r="I36" s="24"/>
      <c r="J36" s="24"/>
      <c r="K36" s="25" t="n">
        <f aca="false">ROUND(IF(OR(C36="NA",E36="NA"),0,IF(AND(C36&gt;0,E36&gt;0),(C36-E36),0)),-1)</f>
        <v>0</v>
      </c>
      <c r="L36" s="25" t="n">
        <f aca="false">ROUND(IF(OR(D36="NA",F36="NA"),0,IF(AND(D36&gt;0,F36&gt;0),(D36-F36),0)),-1)</f>
        <v>0</v>
      </c>
      <c r="M36" s="25" t="n">
        <f aca="false">ROUND(IF(OR(C36="NA",G36="NA"),0,IF(AND(C36&gt;=0,G36&gt;=0),(C36-G36),0)),-1)</f>
        <v>0</v>
      </c>
      <c r="N36" s="25" t="n">
        <f aca="false">ROUND(IF(OR(D36="NA",H36="NA"),0,IF(AND(D36&gt;=0,H36&gt;=0),(D36-H36),0)),-1)</f>
        <v>0</v>
      </c>
      <c r="O36" s="25" t="n">
        <f aca="false">ROUND(IF(OR(E36="NA",G36="NA"),0,IF(AND(G36&gt;=0,E36&gt;=0),(E36-G36),0)),-1)</f>
        <v>0</v>
      </c>
      <c r="P36" s="25" t="n">
        <f aca="false">ROUND(IF(OR(F36="NA",H36="NA"),0,IF(AND(F36&gt;=0,H36&gt;=0),(F36-H36),0)),-1)</f>
        <v>0</v>
      </c>
      <c r="Q36" s="25" t="n">
        <f aca="false">ROUND(IF(OR(E36="NA",I36="",I36="NA"),0,IF(AND(E36&gt;=0,I36&gt;=0,E36&gt;I36),(E36-I36),0)),-1)</f>
        <v>0</v>
      </c>
      <c r="R36" s="25" t="n">
        <f aca="false">ROUND(IF(OR(F36="NA",J36="",J36="NA"),0,IF(AND(J36&gt;=0,F36&gt;=0),(J36-F36),0)),-1)</f>
        <v>0</v>
      </c>
      <c r="S36" s="24"/>
      <c r="T36" s="25" t="str">
        <f aca="false">IF(S36="Yes","Report","No Action")</f>
        <v>No Action</v>
      </c>
      <c r="U36" s="26"/>
    </row>
    <row r="37" customFormat="false" ht="15.75" hidden="false" customHeight="true" outlineLevel="0" collapsed="false">
      <c r="A37" s="20" t="s">
        <v>34</v>
      </c>
      <c r="B37" s="21" t="s">
        <v>56</v>
      </c>
      <c r="C37" s="22" t="n">
        <v>124950</v>
      </c>
      <c r="D37" s="22" t="n">
        <v>2499</v>
      </c>
      <c r="E37" s="22" t="n">
        <v>124950</v>
      </c>
      <c r="F37" s="23" t="n">
        <f aca="false">D37</f>
        <v>2499</v>
      </c>
      <c r="G37" s="23" t="n">
        <f aca="false">E37</f>
        <v>124950</v>
      </c>
      <c r="H37" s="23" t="s">
        <v>28</v>
      </c>
      <c r="I37" s="24"/>
      <c r="J37" s="24"/>
      <c r="K37" s="25" t="n">
        <f aca="false">ROUND(IF(OR(C37="NA",E37="NA"),0,IF(AND(C37&gt;0,E37&gt;0),(C37-E37),0)),-1)</f>
        <v>0</v>
      </c>
      <c r="L37" s="25" t="n">
        <f aca="false">ROUND(IF(OR(D37="NA",F37="NA"),0,IF(AND(D37&gt;0,F37&gt;0),(D37-F37),0)),-1)</f>
        <v>0</v>
      </c>
      <c r="M37" s="25" t="n">
        <f aca="false">ROUND(IF(OR(C37="NA",G37="NA"),0,IF(AND(C37&gt;=0,G37&gt;=0),(C37-G37),0)),-1)</f>
        <v>0</v>
      </c>
      <c r="N37" s="25" t="n">
        <f aca="false">ROUND(IF(OR(D37="NA",H37="NA"),0,IF(AND(D37&gt;=0,H37&gt;=0),(D37-H37),0)),-1)</f>
        <v>0</v>
      </c>
      <c r="O37" s="25" t="n">
        <f aca="false">ROUND(IF(OR(E37="NA",G37="NA"),0,IF(AND(G37&gt;=0,E37&gt;=0),(E37-G37),0)),-1)</f>
        <v>0</v>
      </c>
      <c r="P37" s="25" t="n">
        <f aca="false">ROUND(IF(OR(F37="NA",H37="NA"),0,IF(AND(F37&gt;=0,H37&gt;=0),(F37-H37),0)),-1)</f>
        <v>0</v>
      </c>
      <c r="Q37" s="25" t="n">
        <f aca="false">ROUND(IF(OR(E37="NA",I37="",I37="NA"),0,IF(AND(E37&gt;=0,I37&gt;=0,E37&gt;I37),(E37-I37),0)),-1)</f>
        <v>0</v>
      </c>
      <c r="R37" s="25" t="n">
        <f aca="false">ROUND(IF(OR(F37="NA",J37="",J37="NA"),0,IF(AND(J37&gt;=0,F37&gt;=0),(J37-F37),0)),-1)</f>
        <v>0</v>
      </c>
      <c r="S37" s="24"/>
      <c r="T37" s="25" t="str">
        <f aca="false">IF(S37="Yes","Report","No Action")</f>
        <v>No Action</v>
      </c>
      <c r="U37" s="26"/>
    </row>
    <row r="38" customFormat="false" ht="15.75" hidden="false" customHeight="true" outlineLevel="0" collapsed="false">
      <c r="A38" s="20" t="s">
        <v>34</v>
      </c>
      <c r="B38" s="21" t="s">
        <v>57</v>
      </c>
      <c r="C38" s="22" t="n">
        <v>113347.5</v>
      </c>
      <c r="D38" s="22" t="n">
        <v>2267</v>
      </c>
      <c r="E38" s="22" t="n">
        <v>113347</v>
      </c>
      <c r="F38" s="23" t="n">
        <f aca="false">D38</f>
        <v>2267</v>
      </c>
      <c r="G38" s="23" t="n">
        <f aca="false">E38</f>
        <v>113347</v>
      </c>
      <c r="H38" s="23" t="s">
        <v>28</v>
      </c>
      <c r="I38" s="24"/>
      <c r="J38" s="24"/>
      <c r="K38" s="25" t="n">
        <f aca="false">ROUND(IF(OR(C38="NA",E38="NA"),0,IF(AND(C38&gt;0,E38&gt;0),(C38-E38),0)),-1)</f>
        <v>0</v>
      </c>
      <c r="L38" s="25" t="n">
        <f aca="false">ROUND(IF(OR(D38="NA",F38="NA"),0,IF(AND(D38&gt;0,F38&gt;0),(D38-F38),0)),-1)</f>
        <v>0</v>
      </c>
      <c r="M38" s="25" t="n">
        <f aca="false">ROUND(IF(OR(C38="NA",G38="NA"),0,IF(AND(C38&gt;=0,G38&gt;=0),(C38-G38),0)),-1)</f>
        <v>0</v>
      </c>
      <c r="N38" s="25" t="n">
        <f aca="false">ROUND(IF(OR(D38="NA",H38="NA"),0,IF(AND(D38&gt;=0,H38&gt;=0),(D38-H38),0)),-1)</f>
        <v>0</v>
      </c>
      <c r="O38" s="25" t="n">
        <f aca="false">ROUND(IF(OR(E38="NA",G38="NA"),0,IF(AND(G38&gt;=0,E38&gt;=0),(E38-G38),0)),-1)</f>
        <v>0</v>
      </c>
      <c r="P38" s="25" t="n">
        <f aca="false">ROUND(IF(OR(F38="NA",H38="NA"),0,IF(AND(F38&gt;=0,H38&gt;=0),(F38-H38),0)),-1)</f>
        <v>0</v>
      </c>
      <c r="Q38" s="25" t="n">
        <f aca="false">ROUND(IF(OR(E38="NA",I38="",I38="NA"),0,IF(AND(E38&gt;=0,I38&gt;=0,E38&gt;I38),(E38-I38),0)),-1)</f>
        <v>0</v>
      </c>
      <c r="R38" s="25" t="n">
        <f aca="false">ROUND(IF(OR(F38="NA",J38="",J38="NA"),0,IF(AND(J38&gt;=0,F38&gt;=0),(J38-F38),0)),-1)</f>
        <v>0</v>
      </c>
      <c r="S38" s="24"/>
      <c r="T38" s="25" t="str">
        <f aca="false">IF(S38="Yes","Report","No Action")</f>
        <v>No Action</v>
      </c>
      <c r="U38" s="26"/>
    </row>
    <row r="39" customFormat="false" ht="15.75" hidden="false" customHeight="true" outlineLevel="0" collapsed="false">
      <c r="A39" s="20" t="s">
        <v>34</v>
      </c>
      <c r="B39" s="21" t="s">
        <v>58</v>
      </c>
      <c r="C39" s="22" t="n">
        <v>71064</v>
      </c>
      <c r="D39" s="22" t="n">
        <v>1428</v>
      </c>
      <c r="E39" s="22" t="n">
        <v>71064</v>
      </c>
      <c r="F39" s="23" t="n">
        <f aca="false">D39</f>
        <v>1428</v>
      </c>
      <c r="G39" s="23" t="n">
        <f aca="false">E39</f>
        <v>71064</v>
      </c>
      <c r="H39" s="23" t="s">
        <v>28</v>
      </c>
      <c r="I39" s="24"/>
      <c r="J39" s="24"/>
      <c r="K39" s="25" t="n">
        <f aca="false">ROUND(IF(OR(C39="NA",E39="NA"),0,IF(AND(C39&gt;0,E39&gt;0),(C39-E39),0)),-1)</f>
        <v>0</v>
      </c>
      <c r="L39" s="25" t="n">
        <f aca="false">ROUND(IF(OR(D39="NA",F39="NA"),0,IF(AND(D39&gt;0,F39&gt;0),(D39-F39),0)),-1)</f>
        <v>0</v>
      </c>
      <c r="M39" s="25" t="n">
        <f aca="false">ROUND(IF(OR(C39="NA",G39="NA"),0,IF(AND(C39&gt;=0,G39&gt;=0),(C39-G39),0)),-1)</f>
        <v>0</v>
      </c>
      <c r="N39" s="25" t="n">
        <f aca="false">ROUND(IF(OR(D39="NA",H39="NA"),0,IF(AND(D39&gt;=0,H39&gt;=0),(D39-H39),0)),-1)</f>
        <v>0</v>
      </c>
      <c r="O39" s="25" t="n">
        <f aca="false">ROUND(IF(OR(E39="NA",G39="NA"),0,IF(AND(G39&gt;=0,E39&gt;=0),(E39-G39),0)),-1)</f>
        <v>0</v>
      </c>
      <c r="P39" s="25" t="n">
        <f aca="false">ROUND(IF(OR(F39="NA",H39="NA"),0,IF(AND(F39&gt;=0,H39&gt;=0),(F39-H39),0)),-1)</f>
        <v>0</v>
      </c>
      <c r="Q39" s="25" t="n">
        <f aca="false">ROUND(IF(OR(E39="NA",I39="",I39="NA"),0,IF(AND(E39&gt;=0,I39&gt;=0,E39&gt;I39),(E39-I39),0)),-1)</f>
        <v>0</v>
      </c>
      <c r="R39" s="25" t="n">
        <f aca="false">ROUND(IF(OR(F39="NA",J39="",J39="NA"),0,IF(AND(J39&gt;=0,F39&gt;=0),(J39-F39),0)),-1)</f>
        <v>0</v>
      </c>
      <c r="S39" s="24"/>
      <c r="T39" s="25" t="str">
        <f aca="false">IF(S39="Yes","Report","No Action")</f>
        <v>No Action</v>
      </c>
      <c r="U39" s="26"/>
    </row>
    <row r="40" customFormat="false" ht="15.75" hidden="false" customHeight="true" outlineLevel="0" collapsed="false">
      <c r="A40" s="20" t="s">
        <v>34</v>
      </c>
      <c r="B40" s="21" t="s">
        <v>59</v>
      </c>
      <c r="C40" s="22" t="n">
        <v>69664</v>
      </c>
      <c r="D40" s="22" t="n">
        <v>1393</v>
      </c>
      <c r="E40" s="22" t="n">
        <v>69664</v>
      </c>
      <c r="F40" s="23" t="n">
        <f aca="false">D40</f>
        <v>1393</v>
      </c>
      <c r="G40" s="23" t="n">
        <f aca="false">E40</f>
        <v>69664</v>
      </c>
      <c r="H40" s="23" t="s">
        <v>28</v>
      </c>
      <c r="I40" s="24"/>
      <c r="J40" s="24"/>
      <c r="K40" s="25" t="n">
        <f aca="false">ROUND(IF(OR(C40="NA",E40="NA"),0,IF(AND(C40&gt;0,E40&gt;0),(C40-E40),0)),-1)</f>
        <v>0</v>
      </c>
      <c r="L40" s="25" t="n">
        <f aca="false">ROUND(IF(OR(D40="NA",F40="NA"),0,IF(AND(D40&gt;0,F40&gt;0),(D40-F40),0)),-1)</f>
        <v>0</v>
      </c>
      <c r="M40" s="25" t="n">
        <f aca="false">ROUND(IF(OR(C40="NA",G40="NA"),0,IF(AND(C40&gt;=0,G40&gt;=0),(C40-G40),0)),-1)</f>
        <v>0</v>
      </c>
      <c r="N40" s="25" t="n">
        <f aca="false">ROUND(IF(OR(D40="NA",H40="NA"),0,IF(AND(D40&gt;=0,H40&gt;=0),(D40-H40),0)),-1)</f>
        <v>0</v>
      </c>
      <c r="O40" s="25" t="n">
        <f aca="false">ROUND(IF(OR(E40="NA",G40="NA"),0,IF(AND(G40&gt;=0,E40&gt;=0),(E40-G40),0)),-1)</f>
        <v>0</v>
      </c>
      <c r="P40" s="25" t="n">
        <f aca="false">ROUND(IF(OR(F40="NA",H40="NA"),0,IF(AND(F40&gt;=0,H40&gt;=0),(F40-H40),0)),-1)</f>
        <v>0</v>
      </c>
      <c r="Q40" s="25" t="n">
        <f aca="false">ROUND(IF(OR(E40="NA",I40="",I40="NA"),0,IF(AND(E40&gt;=0,I40&gt;=0,E40&gt;I40),(E40-I40),0)),-1)</f>
        <v>0</v>
      </c>
      <c r="R40" s="25" t="n">
        <f aca="false">ROUND(IF(OR(F40="NA",J40="",J40="NA"),0,IF(AND(J40&gt;=0,F40&gt;=0),(J40-F40),0)),-1)</f>
        <v>0</v>
      </c>
      <c r="S40" s="24"/>
      <c r="T40" s="25" t="str">
        <f aca="false">IF(S40="Yes","Report","No Action")</f>
        <v>No Action</v>
      </c>
      <c r="U40" s="26"/>
    </row>
    <row r="41" customFormat="false" ht="15.75" hidden="false" customHeight="true" outlineLevel="0" collapsed="false">
      <c r="A41" s="20" t="s">
        <v>34</v>
      </c>
      <c r="B41" s="21" t="s">
        <v>60</v>
      </c>
      <c r="C41" s="22" t="n">
        <v>67995</v>
      </c>
      <c r="D41" s="22" t="n">
        <v>1359</v>
      </c>
      <c r="E41" s="22" t="n">
        <v>67995</v>
      </c>
      <c r="F41" s="23" t="n">
        <f aca="false">D41</f>
        <v>1359</v>
      </c>
      <c r="G41" s="23" t="n">
        <f aca="false">E41</f>
        <v>67995</v>
      </c>
      <c r="H41" s="23" t="s">
        <v>28</v>
      </c>
      <c r="I41" s="24"/>
      <c r="J41" s="24"/>
      <c r="K41" s="25" t="n">
        <f aca="false">ROUND(IF(OR(C41="NA",E41="NA"),0,IF(AND(C41&gt;0,E41&gt;0),(C41-E41),0)),-1)</f>
        <v>0</v>
      </c>
      <c r="L41" s="25" t="n">
        <f aca="false">ROUND(IF(OR(D41="NA",F41="NA"),0,IF(AND(D41&gt;0,F41&gt;0),(D41-F41),0)),-1)</f>
        <v>0</v>
      </c>
      <c r="M41" s="25" t="n">
        <f aca="false">ROUND(IF(OR(C41="NA",G41="NA"),0,IF(AND(C41&gt;=0,G41&gt;=0),(C41-G41),0)),-1)</f>
        <v>0</v>
      </c>
      <c r="N41" s="25" t="n">
        <f aca="false">ROUND(IF(OR(D41="NA",H41="NA"),0,IF(AND(D41&gt;=0,H41&gt;=0),(D41-H41),0)),-1)</f>
        <v>0</v>
      </c>
      <c r="O41" s="25" t="n">
        <f aca="false">ROUND(IF(OR(E41="NA",G41="NA"),0,IF(AND(G41&gt;=0,E41&gt;=0),(E41-G41),0)),-1)</f>
        <v>0</v>
      </c>
      <c r="P41" s="25" t="n">
        <f aca="false">ROUND(IF(OR(F41="NA",H41="NA"),0,IF(AND(F41&gt;=0,H41&gt;=0),(F41-H41),0)),-1)</f>
        <v>0</v>
      </c>
      <c r="Q41" s="25" t="n">
        <f aca="false">ROUND(IF(OR(E41="NA",I41="",I41="NA"),0,IF(AND(E41&gt;=0,I41&gt;=0,E41&gt;I41),(E41-I41),0)),-1)</f>
        <v>0</v>
      </c>
      <c r="R41" s="25" t="n">
        <f aca="false">ROUND(IF(OR(F41="NA",J41="",J41="NA"),0,IF(AND(J41&gt;=0,F41&gt;=0),(J41-F41),0)),-1)</f>
        <v>0</v>
      </c>
      <c r="S41" s="24"/>
      <c r="T41" s="25" t="str">
        <f aca="false">IF(S41="Yes","Report","No Action")</f>
        <v>No Action</v>
      </c>
      <c r="U41" s="26"/>
    </row>
    <row r="42" customFormat="false" ht="15.75" hidden="false" customHeight="true" outlineLevel="0" collapsed="false">
      <c r="A42" s="20" t="s">
        <v>34</v>
      </c>
      <c r="B42" s="21" t="s">
        <v>61</v>
      </c>
      <c r="C42" s="22" t="n">
        <v>65770</v>
      </c>
      <c r="D42" s="22" t="n">
        <v>1316</v>
      </c>
      <c r="E42" s="22" t="n">
        <v>65770</v>
      </c>
      <c r="F42" s="23" t="n">
        <f aca="false">D42</f>
        <v>1316</v>
      </c>
      <c r="G42" s="23" t="n">
        <f aca="false">E42</f>
        <v>65770</v>
      </c>
      <c r="H42" s="23" t="s">
        <v>28</v>
      </c>
      <c r="I42" s="24"/>
      <c r="J42" s="24"/>
      <c r="K42" s="25" t="n">
        <f aca="false">ROUND(IF(OR(C42="NA",E42="NA"),0,IF(AND(C42&gt;0,E42&gt;0),(C42-E42),0)),-1)</f>
        <v>0</v>
      </c>
      <c r="L42" s="25" t="n">
        <f aca="false">ROUND(IF(OR(D42="NA",F42="NA"),0,IF(AND(D42&gt;0,F42&gt;0),(D42-F42),0)),-1)</f>
        <v>0</v>
      </c>
      <c r="M42" s="25" t="n">
        <f aca="false">ROUND(IF(OR(C42="NA",G42="NA"),0,IF(AND(C42&gt;=0,G42&gt;=0),(C42-G42),0)),-1)</f>
        <v>0</v>
      </c>
      <c r="N42" s="25" t="n">
        <f aca="false">ROUND(IF(OR(D42="NA",H42="NA"),0,IF(AND(D42&gt;=0,H42&gt;=0),(D42-H42),0)),-1)</f>
        <v>0</v>
      </c>
      <c r="O42" s="25" t="n">
        <f aca="false">ROUND(IF(OR(E42="NA",G42="NA"),0,IF(AND(G42&gt;=0,E42&gt;=0),(E42-G42),0)),-1)</f>
        <v>0</v>
      </c>
      <c r="P42" s="25" t="n">
        <f aca="false">ROUND(IF(OR(F42="NA",H42="NA"),0,IF(AND(F42&gt;=0,H42&gt;=0),(F42-H42),0)),-1)</f>
        <v>0</v>
      </c>
      <c r="Q42" s="25" t="n">
        <f aca="false">ROUND(IF(OR(E42="NA",I42="",I42="NA"),0,IF(AND(E42&gt;=0,I42&gt;=0,E42&gt;I42),(E42-I42),0)),-1)</f>
        <v>0</v>
      </c>
      <c r="R42" s="25" t="n">
        <f aca="false">ROUND(IF(OR(F42="NA",J42="",J42="NA"),0,IF(AND(J42&gt;=0,F42&gt;=0),(J42-F42),0)),-1)</f>
        <v>0</v>
      </c>
      <c r="S42" s="24"/>
      <c r="T42" s="25" t="str">
        <f aca="false">IF(S42="Yes","Report","No Action")</f>
        <v>No Action</v>
      </c>
      <c r="U42" s="26"/>
    </row>
    <row r="43" customFormat="false" ht="15.75" hidden="false" customHeight="true" outlineLevel="0" collapsed="false">
      <c r="A43" s="20" t="s">
        <v>34</v>
      </c>
      <c r="B43" s="21" t="s">
        <v>62</v>
      </c>
      <c r="C43" s="22" t="n">
        <v>65513</v>
      </c>
      <c r="D43" s="22" t="n">
        <v>1313</v>
      </c>
      <c r="E43" s="22" t="n">
        <v>65513</v>
      </c>
      <c r="F43" s="23" t="n">
        <f aca="false">D43</f>
        <v>1313</v>
      </c>
      <c r="G43" s="23" t="n">
        <f aca="false">E43</f>
        <v>65513</v>
      </c>
      <c r="H43" s="23" t="s">
        <v>28</v>
      </c>
      <c r="I43" s="24"/>
      <c r="J43" s="24"/>
      <c r="K43" s="25" t="n">
        <f aca="false">ROUND(IF(OR(C43="NA",E43="NA"),0,IF(AND(C43&gt;0,E43&gt;0),(C43-E43),0)),-1)</f>
        <v>0</v>
      </c>
      <c r="L43" s="25" t="n">
        <f aca="false">ROUND(IF(OR(D43="NA",F43="NA"),0,IF(AND(D43&gt;0,F43&gt;0),(D43-F43),0)),-1)</f>
        <v>0</v>
      </c>
      <c r="M43" s="25" t="n">
        <f aca="false">ROUND(IF(OR(C43="NA",G43="NA"),0,IF(AND(C43&gt;=0,G43&gt;=0),(C43-G43),0)),-1)</f>
        <v>0</v>
      </c>
      <c r="N43" s="25" t="n">
        <f aca="false">ROUND(IF(OR(D43="NA",H43="NA"),0,IF(AND(D43&gt;=0,H43&gt;=0),(D43-H43),0)),-1)</f>
        <v>0</v>
      </c>
      <c r="O43" s="25" t="n">
        <f aca="false">ROUND(IF(OR(E43="NA",G43="NA"),0,IF(AND(G43&gt;=0,E43&gt;=0),(E43-G43),0)),-1)</f>
        <v>0</v>
      </c>
      <c r="P43" s="25" t="n">
        <f aca="false">ROUND(IF(OR(F43="NA",H43="NA"),0,IF(AND(F43&gt;=0,H43&gt;=0),(F43-H43),0)),-1)</f>
        <v>0</v>
      </c>
      <c r="Q43" s="25" t="n">
        <f aca="false">ROUND(IF(OR(E43="NA",I43="",I43="NA"),0,IF(AND(E43&gt;=0,I43&gt;=0,E43&gt;I43),(E43-I43),0)),-1)</f>
        <v>0</v>
      </c>
      <c r="R43" s="25" t="n">
        <f aca="false">ROUND(IF(OR(F43="NA",J43="",J43="NA"),0,IF(AND(J43&gt;=0,F43&gt;=0),(J43-F43),0)),-1)</f>
        <v>0</v>
      </c>
      <c r="S43" s="24"/>
      <c r="T43" s="25" t="str">
        <f aca="false">IF(S43="Yes","Report","No Action")</f>
        <v>No Action</v>
      </c>
      <c r="U43" s="26"/>
    </row>
    <row r="44" customFormat="false" ht="15.75" hidden="false" customHeight="true" outlineLevel="0" collapsed="false">
      <c r="A44" s="20" t="s">
        <v>34</v>
      </c>
      <c r="B44" s="21" t="s">
        <v>63</v>
      </c>
      <c r="C44" s="22" t="n">
        <v>63664</v>
      </c>
      <c r="D44" s="22" t="n">
        <v>1274</v>
      </c>
      <c r="E44" s="22" t="n">
        <v>63664</v>
      </c>
      <c r="F44" s="23" t="n">
        <f aca="false">D44</f>
        <v>1274</v>
      </c>
      <c r="G44" s="23" t="n">
        <f aca="false">E44</f>
        <v>63664</v>
      </c>
      <c r="H44" s="23" t="s">
        <v>28</v>
      </c>
      <c r="I44" s="24"/>
      <c r="J44" s="24"/>
      <c r="K44" s="25" t="n">
        <f aca="false">ROUND(IF(OR(C44="NA",E44="NA"),0,IF(AND(C44&gt;0,E44&gt;0),(C44-E44),0)),-1)</f>
        <v>0</v>
      </c>
      <c r="L44" s="25" t="n">
        <f aca="false">ROUND(IF(OR(D44="NA",F44="NA"),0,IF(AND(D44&gt;0,F44&gt;0),(D44-F44),0)),-1)</f>
        <v>0</v>
      </c>
      <c r="M44" s="25" t="n">
        <f aca="false">ROUND(IF(OR(C44="NA",G44="NA"),0,IF(AND(C44&gt;=0,G44&gt;=0),(C44-G44),0)),-1)</f>
        <v>0</v>
      </c>
      <c r="N44" s="25" t="n">
        <f aca="false">ROUND(IF(OR(D44="NA",H44="NA"),0,IF(AND(D44&gt;=0,H44&gt;=0),(D44-H44),0)),-1)</f>
        <v>0</v>
      </c>
      <c r="O44" s="25" t="n">
        <f aca="false">ROUND(IF(OR(E44="NA",G44="NA"),0,IF(AND(G44&gt;=0,E44&gt;=0),(E44-G44),0)),-1)</f>
        <v>0</v>
      </c>
      <c r="P44" s="25" t="n">
        <f aca="false">ROUND(IF(OR(F44="NA",H44="NA"),0,IF(AND(F44&gt;=0,H44&gt;=0),(F44-H44),0)),-1)</f>
        <v>0</v>
      </c>
      <c r="Q44" s="25" t="n">
        <f aca="false">ROUND(IF(OR(E44="NA",I44="",I44="NA"),0,IF(AND(E44&gt;=0,I44&gt;=0,E44&gt;I44),(E44-I44),0)),-1)</f>
        <v>0</v>
      </c>
      <c r="R44" s="25" t="n">
        <f aca="false">ROUND(IF(OR(F44="NA",J44="",J44="NA"),0,IF(AND(J44&gt;=0,F44&gt;=0),(J44-F44),0)),-1)</f>
        <v>0</v>
      </c>
      <c r="S44" s="24"/>
      <c r="T44" s="25" t="str">
        <f aca="false">IF(S44="Yes","Report","No Action")</f>
        <v>No Action</v>
      </c>
      <c r="U44" s="26"/>
    </row>
    <row r="45" customFormat="false" ht="17.25" hidden="false" customHeight="true" outlineLevel="0" collapsed="false">
      <c r="A45" s="20" t="s">
        <v>34</v>
      </c>
      <c r="B45" s="21" t="s">
        <v>64</v>
      </c>
      <c r="C45" s="22" t="n">
        <v>57373</v>
      </c>
      <c r="D45" s="22" t="n">
        <v>1148</v>
      </c>
      <c r="E45" s="22" t="n">
        <v>57373</v>
      </c>
      <c r="F45" s="23" t="n">
        <f aca="false">D45</f>
        <v>1148</v>
      </c>
      <c r="G45" s="23" t="n">
        <f aca="false">E45</f>
        <v>57373</v>
      </c>
      <c r="H45" s="23" t="s">
        <v>28</v>
      </c>
      <c r="I45" s="24"/>
      <c r="J45" s="24"/>
      <c r="K45" s="25" t="n">
        <f aca="false">ROUND(IF(OR(C45="NA",E45="NA"),0,IF(AND(C45&gt;0,E45&gt;0),(C45-E45),0)),-1)</f>
        <v>0</v>
      </c>
      <c r="L45" s="25" t="n">
        <f aca="false">ROUND(IF(OR(D45="NA",F45="NA"),0,IF(AND(D45&gt;0,F45&gt;0),(D45-F45),0)),-1)</f>
        <v>0</v>
      </c>
      <c r="M45" s="25" t="n">
        <f aca="false">ROUND(IF(OR(C45="NA",G45="NA"),0,IF(AND(C45&gt;=0,G45&gt;=0),(C45-G45),0)),-1)</f>
        <v>0</v>
      </c>
      <c r="N45" s="25" t="n">
        <f aca="false">ROUND(IF(OR(D45="NA",H45="NA"),0,IF(AND(D45&gt;=0,H45&gt;=0),(D45-H45),0)),-1)</f>
        <v>0</v>
      </c>
      <c r="O45" s="25" t="n">
        <f aca="false">ROUND(IF(OR(E45="NA",G45="NA"),0,IF(AND(G45&gt;=0,E45&gt;=0),(E45-G45),0)),-1)</f>
        <v>0</v>
      </c>
      <c r="P45" s="25" t="n">
        <f aca="false">ROUND(IF(OR(F45="NA",H45="NA"),0,IF(AND(F45&gt;=0,H45&gt;=0),(F45-H45),0)),-1)</f>
        <v>0</v>
      </c>
      <c r="Q45" s="25" t="n">
        <f aca="false">ROUND(IF(OR(E45="NA",I45="",I45="NA"),0,IF(AND(E45&gt;=0,I45&gt;=0,E45&gt;I45),(E45-I45),0)),-1)</f>
        <v>0</v>
      </c>
      <c r="R45" s="25" t="n">
        <f aca="false">ROUND(IF(OR(F45="NA",J45="",J45="NA"),0,IF(AND(J45&gt;=0,F45&gt;=0),(J45-F45),0)),-1)</f>
        <v>0</v>
      </c>
      <c r="S45" s="24"/>
      <c r="T45" s="25" t="str">
        <f aca="false">IF(S45="Yes","Report","No Action")</f>
        <v>No Action</v>
      </c>
      <c r="U45" s="26"/>
    </row>
    <row r="46" customFormat="false" ht="17.25" hidden="false" customHeight="true" outlineLevel="0" collapsed="false">
      <c r="A46" s="20" t="s">
        <v>34</v>
      </c>
      <c r="B46" s="21" t="s">
        <v>65</v>
      </c>
      <c r="C46" s="22" t="n">
        <v>56488</v>
      </c>
      <c r="D46" s="22" t="n">
        <v>1129.77</v>
      </c>
      <c r="E46" s="22" t="n">
        <v>56488</v>
      </c>
      <c r="F46" s="23" t="n">
        <f aca="false">D46</f>
        <v>1129.77</v>
      </c>
      <c r="G46" s="23" t="n">
        <f aca="false">E46</f>
        <v>56488</v>
      </c>
      <c r="H46" s="23" t="s">
        <v>28</v>
      </c>
      <c r="I46" s="24"/>
      <c r="J46" s="24"/>
      <c r="K46" s="25" t="n">
        <f aca="false">ROUND(IF(OR(C46="NA",E46="NA"),0,IF(AND(C46&gt;0,E46&gt;0),(C46-E46),0)),-1)</f>
        <v>0</v>
      </c>
      <c r="L46" s="25" t="n">
        <f aca="false">ROUND(IF(OR(D46="NA",F46="NA"),0,IF(AND(D46&gt;0,F46&gt;0),(D46-F46),0)),-1)</f>
        <v>0</v>
      </c>
      <c r="M46" s="25" t="n">
        <f aca="false">ROUND(IF(OR(C46="NA",G46="NA"),0,IF(AND(C46&gt;=0,G46&gt;=0),(C46-G46),0)),-1)</f>
        <v>0</v>
      </c>
      <c r="N46" s="25" t="n">
        <f aca="false">ROUND(IF(OR(D46="NA",H46="NA"),0,IF(AND(D46&gt;=0,H46&gt;=0),(D46-H46),0)),-1)</f>
        <v>0</v>
      </c>
      <c r="O46" s="25" t="n">
        <f aca="false">ROUND(IF(OR(E46="NA",G46="NA"),0,IF(AND(G46&gt;=0,E46&gt;=0),(E46-G46),0)),-1)</f>
        <v>0</v>
      </c>
      <c r="P46" s="25" t="n">
        <f aca="false">ROUND(IF(OR(F46="NA",H46="NA"),0,IF(AND(F46&gt;=0,H46&gt;=0),(F46-H46),0)),-1)</f>
        <v>0</v>
      </c>
      <c r="Q46" s="25" t="n">
        <f aca="false">ROUND(IF(OR(E46="NA",I46="",I46="NA"),0,IF(AND(E46&gt;=0,I46&gt;=0,E46&gt;I46),(E46-I46),0)),-1)</f>
        <v>0</v>
      </c>
      <c r="R46" s="25" t="n">
        <f aca="false">ROUND(IF(OR(F46="NA",J46="",J46="NA"),0,IF(AND(J46&gt;=0,F46&gt;=0),(J46-F46),0)),-1)</f>
        <v>0</v>
      </c>
      <c r="S46" s="24"/>
      <c r="T46" s="25" t="str">
        <f aca="false">IF(S46="Yes","Report","No Action")</f>
        <v>No Action</v>
      </c>
      <c r="U46" s="26"/>
    </row>
    <row r="47" customFormat="false" ht="17.25" hidden="false" customHeight="true" outlineLevel="0" collapsed="false">
      <c r="A47" s="20" t="s">
        <v>34</v>
      </c>
      <c r="B47" s="21" t="s">
        <v>66</v>
      </c>
      <c r="C47" s="22" t="n">
        <v>51602</v>
      </c>
      <c r="D47" s="22" t="n">
        <v>1032</v>
      </c>
      <c r="E47" s="22" t="n">
        <v>51602</v>
      </c>
      <c r="F47" s="23" t="n">
        <f aca="false">D47</f>
        <v>1032</v>
      </c>
      <c r="G47" s="23" t="n">
        <f aca="false">E47</f>
        <v>51602</v>
      </c>
      <c r="H47" s="23" t="s">
        <v>28</v>
      </c>
      <c r="I47" s="24"/>
      <c r="J47" s="24"/>
      <c r="K47" s="25" t="n">
        <f aca="false">ROUND(IF(OR(C47="NA",E47="NA"),0,IF(AND(C47&gt;0,E47&gt;0),(C47-E47),0)),-1)</f>
        <v>0</v>
      </c>
      <c r="L47" s="25" t="n">
        <f aca="false">ROUND(IF(OR(D47="NA",F47="NA"),0,IF(AND(D47&gt;0,F47&gt;0),(D47-F47),0)),-1)</f>
        <v>0</v>
      </c>
      <c r="M47" s="25" t="n">
        <f aca="false">ROUND(IF(OR(C47="NA",G47="NA"),0,IF(AND(C47&gt;=0,G47&gt;=0),(C47-G47),0)),-1)</f>
        <v>0</v>
      </c>
      <c r="N47" s="25" t="n">
        <f aca="false">ROUND(IF(OR(D47="NA",H47="NA"),0,IF(AND(D47&gt;=0,H47&gt;=0),(D47-H47),0)),-1)</f>
        <v>0</v>
      </c>
      <c r="O47" s="25" t="n">
        <f aca="false">ROUND(IF(OR(E47="NA",G47="NA"),0,IF(AND(G47&gt;=0,E47&gt;=0),(E47-G47),0)),-1)</f>
        <v>0</v>
      </c>
      <c r="P47" s="25" t="n">
        <f aca="false">ROUND(IF(OR(F47="NA",H47="NA"),0,IF(AND(F47&gt;=0,H47&gt;=0),(F47-H47),0)),-1)</f>
        <v>0</v>
      </c>
      <c r="Q47" s="25" t="n">
        <f aca="false">ROUND(IF(OR(E47="NA",I47="",I47="NA"),0,IF(AND(E47&gt;=0,I47&gt;=0,E47&gt;I47),(E47-I47),0)),-1)</f>
        <v>0</v>
      </c>
      <c r="R47" s="25" t="n">
        <f aca="false">ROUND(IF(OR(F47="NA",J47="",J47="NA"),0,IF(AND(J47&gt;=0,F47&gt;=0),(J47-F47),0)),-1)</f>
        <v>0</v>
      </c>
      <c r="S47" s="24"/>
      <c r="T47" s="25" t="str">
        <f aca="false">IF(S47="Yes","Report","No Action")</f>
        <v>No Action</v>
      </c>
      <c r="U47" s="26"/>
    </row>
    <row r="48" customFormat="false" ht="17.25" hidden="false" customHeight="true" outlineLevel="0" collapsed="false">
      <c r="A48" s="20" t="s">
        <v>34</v>
      </c>
      <c r="B48" s="21" t="s">
        <v>67</v>
      </c>
      <c r="C48" s="22" t="n">
        <v>47691</v>
      </c>
      <c r="D48" s="22" t="n">
        <v>954</v>
      </c>
      <c r="E48" s="22" t="n">
        <v>47691</v>
      </c>
      <c r="F48" s="23" t="n">
        <f aca="false">D48</f>
        <v>954</v>
      </c>
      <c r="G48" s="23" t="n">
        <f aca="false">E48</f>
        <v>47691</v>
      </c>
      <c r="H48" s="23" t="s">
        <v>28</v>
      </c>
      <c r="I48" s="24"/>
      <c r="J48" s="24"/>
      <c r="K48" s="25" t="n">
        <f aca="false">ROUND(IF(OR(C48="NA",E48="NA"),0,IF(AND(C48&gt;0,E48&gt;0),(C48-E48),0)),-1)</f>
        <v>0</v>
      </c>
      <c r="L48" s="25" t="n">
        <f aca="false">ROUND(IF(OR(D48="NA",F48="NA"),0,IF(AND(D48&gt;0,F48&gt;0),(D48-F48),0)),-1)</f>
        <v>0</v>
      </c>
      <c r="M48" s="25" t="n">
        <f aca="false">ROUND(IF(OR(C48="NA",G48="NA"),0,IF(AND(C48&gt;=0,G48&gt;=0),(C48-G48),0)),-1)</f>
        <v>0</v>
      </c>
      <c r="N48" s="25" t="n">
        <f aca="false">ROUND(IF(OR(D48="NA",H48="NA"),0,IF(AND(D48&gt;=0,H48&gt;=0),(D48-H48),0)),-1)</f>
        <v>0</v>
      </c>
      <c r="O48" s="25" t="n">
        <f aca="false">ROUND(IF(OR(E48="NA",G48="NA"),0,IF(AND(G48&gt;=0,E48&gt;=0),(E48-G48),0)),-1)</f>
        <v>0</v>
      </c>
      <c r="P48" s="25" t="n">
        <f aca="false">ROUND(IF(OR(F48="NA",H48="NA"),0,IF(AND(F48&gt;=0,H48&gt;=0),(F48-H48),0)),-1)</f>
        <v>0</v>
      </c>
      <c r="Q48" s="25" t="n">
        <f aca="false">ROUND(IF(OR(E48="NA",I48="",I48="NA"),0,IF(AND(E48&gt;=0,I48&gt;=0,E48&gt;I48),(E48-I48),0)),-1)</f>
        <v>0</v>
      </c>
      <c r="R48" s="25" t="n">
        <f aca="false">ROUND(IF(OR(F48="NA",J48="",J48="NA"),0,IF(AND(J48&gt;=0,F48&gt;=0),(J48-F48),0)),-1)</f>
        <v>0</v>
      </c>
      <c r="S48" s="24"/>
      <c r="T48" s="25" t="str">
        <f aca="false">IF(S48="Yes","Report","No Action")</f>
        <v>No Action</v>
      </c>
      <c r="U48" s="26"/>
    </row>
    <row r="49" customFormat="false" ht="17.25" hidden="false" customHeight="true" outlineLevel="0" collapsed="false">
      <c r="A49" s="20" t="s">
        <v>34</v>
      </c>
      <c r="B49" s="21" t="s">
        <v>68</v>
      </c>
      <c r="C49" s="22" t="n">
        <v>47335</v>
      </c>
      <c r="D49" s="22" t="n">
        <v>947</v>
      </c>
      <c r="E49" s="22" t="n">
        <v>47335</v>
      </c>
      <c r="F49" s="23" t="n">
        <f aca="false">D49</f>
        <v>947</v>
      </c>
      <c r="G49" s="23" t="n">
        <f aca="false">E49</f>
        <v>47335</v>
      </c>
      <c r="H49" s="23" t="s">
        <v>28</v>
      </c>
      <c r="I49" s="24"/>
      <c r="J49" s="24"/>
      <c r="K49" s="25" t="n">
        <f aca="false">ROUND(IF(OR(C49="NA",E49="NA"),0,IF(AND(C49&gt;0,E49&gt;0),(C49-E49),0)),-1)</f>
        <v>0</v>
      </c>
      <c r="L49" s="25" t="n">
        <f aca="false">ROUND(IF(OR(D49="NA",F49="NA"),0,IF(AND(D49&gt;0,F49&gt;0),(D49-F49),0)),-1)</f>
        <v>0</v>
      </c>
      <c r="M49" s="25" t="n">
        <f aca="false">ROUND(IF(OR(C49="NA",G49="NA"),0,IF(AND(C49&gt;=0,G49&gt;=0),(C49-G49),0)),-1)</f>
        <v>0</v>
      </c>
      <c r="N49" s="25" t="n">
        <f aca="false">ROUND(IF(OR(D49="NA",H49="NA"),0,IF(AND(D49&gt;=0,H49&gt;=0),(D49-H49),0)),-1)</f>
        <v>0</v>
      </c>
      <c r="O49" s="25" t="n">
        <f aca="false">ROUND(IF(OR(E49="NA",G49="NA"),0,IF(AND(G49&gt;=0,E49&gt;=0),(E49-G49),0)),-1)</f>
        <v>0</v>
      </c>
      <c r="P49" s="25" t="n">
        <f aca="false">ROUND(IF(OR(F49="NA",H49="NA"),0,IF(AND(F49&gt;=0,H49&gt;=0),(F49-H49),0)),-1)</f>
        <v>0</v>
      </c>
      <c r="Q49" s="25" t="n">
        <f aca="false">ROUND(IF(OR(E49="NA",I49="",I49="NA"),0,IF(AND(E49&gt;=0,I49&gt;=0,E49&gt;I49),(E49-I49),0)),-1)</f>
        <v>0</v>
      </c>
      <c r="R49" s="25" t="n">
        <f aca="false">ROUND(IF(OR(F49="NA",J49="",J49="NA"),0,IF(AND(J49&gt;=0,F49&gt;=0),(J49-F49),0)),-1)</f>
        <v>0</v>
      </c>
      <c r="S49" s="24"/>
      <c r="T49" s="25" t="str">
        <f aca="false">IF(S49="Yes","Report","No Action")</f>
        <v>No Action</v>
      </c>
      <c r="U49" s="26"/>
    </row>
    <row r="50" customFormat="false" ht="17.25" hidden="false" customHeight="true" outlineLevel="0" collapsed="false">
      <c r="A50" s="20" t="s">
        <v>34</v>
      </c>
      <c r="B50" s="21" t="s">
        <v>69</v>
      </c>
      <c r="C50" s="22" t="n">
        <v>46750</v>
      </c>
      <c r="D50" s="22" t="n">
        <v>935</v>
      </c>
      <c r="E50" s="22" t="n">
        <v>46750</v>
      </c>
      <c r="F50" s="23" t="n">
        <f aca="false">D50</f>
        <v>935</v>
      </c>
      <c r="G50" s="23" t="n">
        <f aca="false">E50</f>
        <v>46750</v>
      </c>
      <c r="H50" s="23" t="s">
        <v>28</v>
      </c>
      <c r="I50" s="24"/>
      <c r="J50" s="24"/>
      <c r="K50" s="25" t="n">
        <f aca="false">ROUND(IF(OR(C50="NA",E50="NA"),0,IF(AND(C50&gt;0,E50&gt;0),(C50-E50),0)),-1)</f>
        <v>0</v>
      </c>
      <c r="L50" s="25" t="n">
        <f aca="false">ROUND(IF(OR(D50="NA",F50="NA"),0,IF(AND(D50&gt;0,F50&gt;0),(D50-F50),0)),-1)</f>
        <v>0</v>
      </c>
      <c r="M50" s="25" t="n">
        <f aca="false">ROUND(IF(OR(C50="NA",G50="NA"),0,IF(AND(C50&gt;=0,G50&gt;=0),(C50-G50),0)),-1)</f>
        <v>0</v>
      </c>
      <c r="N50" s="25" t="n">
        <f aca="false">ROUND(IF(OR(D50="NA",H50="NA"),0,IF(AND(D50&gt;=0,H50&gt;=0),(D50-H50),0)),-1)</f>
        <v>0</v>
      </c>
      <c r="O50" s="25" t="n">
        <f aca="false">ROUND(IF(OR(E50="NA",G50="NA"),0,IF(AND(G50&gt;=0,E50&gt;=0),(E50-G50),0)),-1)</f>
        <v>0</v>
      </c>
      <c r="P50" s="25" t="n">
        <f aca="false">ROUND(IF(OR(F50="NA",H50="NA"),0,IF(AND(F50&gt;=0,H50&gt;=0),(F50-H50),0)),-1)</f>
        <v>0</v>
      </c>
      <c r="Q50" s="25" t="n">
        <f aca="false">ROUND(IF(OR(E50="NA",I50="",I50="NA"),0,IF(AND(E50&gt;=0,I50&gt;=0,E50&gt;I50),(E50-I50),0)),-1)</f>
        <v>0</v>
      </c>
      <c r="R50" s="25" t="n">
        <f aca="false">ROUND(IF(OR(F50="NA",J50="",J50="NA"),0,IF(AND(J50&gt;=0,F50&gt;=0),(J50-F50),0)),-1)</f>
        <v>0</v>
      </c>
      <c r="S50" s="24"/>
      <c r="T50" s="25" t="str">
        <f aca="false">IF(S50="Yes","Report","No Action")</f>
        <v>No Action</v>
      </c>
      <c r="U50" s="26"/>
    </row>
    <row r="51" customFormat="false" ht="17.25" hidden="false" customHeight="true" outlineLevel="0" collapsed="false">
      <c r="A51" s="20" t="s">
        <v>34</v>
      </c>
      <c r="B51" s="21" t="s">
        <v>70</v>
      </c>
      <c r="C51" s="22" t="n">
        <v>40669</v>
      </c>
      <c r="D51" s="22" t="n">
        <v>813.44</v>
      </c>
      <c r="E51" s="22" t="n">
        <v>40669</v>
      </c>
      <c r="F51" s="23" t="n">
        <f aca="false">D51</f>
        <v>813.44</v>
      </c>
      <c r="G51" s="23" t="n">
        <f aca="false">E51</f>
        <v>40669</v>
      </c>
      <c r="H51" s="23" t="s">
        <v>28</v>
      </c>
      <c r="I51" s="24"/>
      <c r="J51" s="24"/>
      <c r="K51" s="25" t="n">
        <f aca="false">ROUND(IF(OR(C51="NA",E51="NA"),0,IF(AND(C51&gt;0,E51&gt;0),(C51-E51),0)),-1)</f>
        <v>0</v>
      </c>
      <c r="L51" s="25" t="n">
        <f aca="false">ROUND(IF(OR(D51="NA",F51="NA"),0,IF(AND(D51&gt;0,F51&gt;0),(D51-F51),0)),-1)</f>
        <v>0</v>
      </c>
      <c r="M51" s="25" t="n">
        <f aca="false">ROUND(IF(OR(C51="NA",G51="NA"),0,IF(AND(C51&gt;=0,G51&gt;=0),(C51-G51),0)),-1)</f>
        <v>0</v>
      </c>
      <c r="N51" s="25" t="n">
        <f aca="false">ROUND(IF(OR(D51="NA",H51="NA"),0,IF(AND(D51&gt;=0,H51&gt;=0),(D51-H51),0)),-1)</f>
        <v>0</v>
      </c>
      <c r="O51" s="25" t="n">
        <f aca="false">ROUND(IF(OR(E51="NA",G51="NA"),0,IF(AND(G51&gt;=0,E51&gt;=0),(E51-G51),0)),-1)</f>
        <v>0</v>
      </c>
      <c r="P51" s="25" t="n">
        <f aca="false">ROUND(IF(OR(F51="NA",H51="NA"),0,IF(AND(F51&gt;=0,H51&gt;=0),(F51-H51),0)),-1)</f>
        <v>0</v>
      </c>
      <c r="Q51" s="25" t="n">
        <f aca="false">ROUND(IF(OR(E51="NA",I51="",I51="NA"),0,IF(AND(E51&gt;=0,I51&gt;=0,E51&gt;I51),(E51-I51),0)),-1)</f>
        <v>0</v>
      </c>
      <c r="R51" s="25" t="n">
        <f aca="false">ROUND(IF(OR(F51="NA",J51="",J51="NA"),0,IF(AND(J51&gt;=0,F51&gt;=0),(J51-F51),0)),-1)</f>
        <v>0</v>
      </c>
      <c r="S51" s="24"/>
      <c r="T51" s="25" t="str">
        <f aca="false">IF(S51="Yes","Report","No Action")</f>
        <v>No Action</v>
      </c>
      <c r="U51" s="26"/>
    </row>
    <row r="52" customFormat="false" ht="17.25" hidden="false" customHeight="true" outlineLevel="0" collapsed="false">
      <c r="A52" s="20" t="s">
        <v>34</v>
      </c>
      <c r="B52" s="21" t="s">
        <v>71</v>
      </c>
      <c r="C52" s="22" t="n">
        <v>39036</v>
      </c>
      <c r="D52" s="22" t="n">
        <v>781</v>
      </c>
      <c r="E52" s="22" t="n">
        <v>39036</v>
      </c>
      <c r="F52" s="23" t="n">
        <f aca="false">D52</f>
        <v>781</v>
      </c>
      <c r="G52" s="23" t="n">
        <f aca="false">E52</f>
        <v>39036</v>
      </c>
      <c r="H52" s="23" t="s">
        <v>28</v>
      </c>
      <c r="I52" s="24"/>
      <c r="J52" s="24"/>
      <c r="K52" s="25" t="n">
        <f aca="false">ROUND(IF(OR(C52="NA",E52="NA"),0,IF(AND(C52&gt;0,E52&gt;0),(C52-E52),0)),-1)</f>
        <v>0</v>
      </c>
      <c r="L52" s="25" t="n">
        <f aca="false">ROUND(IF(OR(D52="NA",F52="NA"),0,IF(AND(D52&gt;0,F52&gt;0),(D52-F52),0)),-1)</f>
        <v>0</v>
      </c>
      <c r="M52" s="25" t="n">
        <f aca="false">ROUND(IF(OR(C52="NA",G52="NA"),0,IF(AND(C52&gt;=0,G52&gt;=0),(C52-G52),0)),-1)</f>
        <v>0</v>
      </c>
      <c r="N52" s="25" t="n">
        <f aca="false">ROUND(IF(OR(D52="NA",H52="NA"),0,IF(AND(D52&gt;=0,H52&gt;=0),(D52-H52),0)),-1)</f>
        <v>0</v>
      </c>
      <c r="O52" s="25" t="n">
        <f aca="false">ROUND(IF(OR(E52="NA",G52="NA"),0,IF(AND(G52&gt;=0,E52&gt;=0),(E52-G52),0)),-1)</f>
        <v>0</v>
      </c>
      <c r="P52" s="25" t="n">
        <f aca="false">ROUND(IF(OR(F52="NA",H52="NA"),0,IF(AND(F52&gt;=0,H52&gt;=0),(F52-H52),0)),-1)</f>
        <v>0</v>
      </c>
      <c r="Q52" s="25" t="n">
        <f aca="false">ROUND(IF(OR(E52="NA",I52="",I52="NA"),0,IF(AND(E52&gt;=0,I52&gt;=0,E52&gt;I52),(E52-I52),0)),-1)</f>
        <v>0</v>
      </c>
      <c r="R52" s="25" t="n">
        <f aca="false">ROUND(IF(OR(F52="NA",J52="",J52="NA"),0,IF(AND(J52&gt;=0,F52&gt;=0),(J52-F52),0)),-1)</f>
        <v>0</v>
      </c>
      <c r="S52" s="24"/>
      <c r="T52" s="25" t="str">
        <f aca="false">IF(S52="Yes","Report","No Action")</f>
        <v>No Action</v>
      </c>
      <c r="U52" s="26"/>
    </row>
    <row r="53" customFormat="false" ht="17.25" hidden="false" customHeight="true" outlineLevel="0" collapsed="false">
      <c r="A53" s="20" t="s">
        <v>34</v>
      </c>
      <c r="B53" s="21" t="s">
        <v>72</v>
      </c>
      <c r="C53" s="22" t="n">
        <v>31199</v>
      </c>
      <c r="D53" s="22" t="n">
        <v>624</v>
      </c>
      <c r="E53" s="22" t="n">
        <v>31199</v>
      </c>
      <c r="F53" s="23" t="n">
        <f aca="false">D53</f>
        <v>624</v>
      </c>
      <c r="G53" s="23" t="n">
        <f aca="false">E53</f>
        <v>31199</v>
      </c>
      <c r="H53" s="23" t="s">
        <v>28</v>
      </c>
      <c r="I53" s="24"/>
      <c r="J53" s="24"/>
      <c r="K53" s="25" t="n">
        <f aca="false">ROUND(IF(OR(C53="NA",E53="NA"),0,IF(AND(C53&gt;0,E53&gt;0),(C53-E53),0)),-1)</f>
        <v>0</v>
      </c>
      <c r="L53" s="25" t="n">
        <f aca="false">ROUND(IF(OR(D53="NA",F53="NA"),0,IF(AND(D53&gt;0,F53&gt;0),(D53-F53),0)),-1)</f>
        <v>0</v>
      </c>
      <c r="M53" s="25" t="n">
        <f aca="false">ROUND(IF(OR(C53="NA",G53="NA"),0,IF(AND(C53&gt;=0,G53&gt;=0),(C53-G53),0)),-1)</f>
        <v>0</v>
      </c>
      <c r="N53" s="25" t="n">
        <f aca="false">ROUND(IF(OR(D53="NA",H53="NA"),0,IF(AND(D53&gt;=0,H53&gt;=0),(D53-H53),0)),-1)</f>
        <v>0</v>
      </c>
      <c r="O53" s="25" t="n">
        <f aca="false">ROUND(IF(OR(E53="NA",G53="NA"),0,IF(AND(G53&gt;=0,E53&gt;=0),(E53-G53),0)),-1)</f>
        <v>0</v>
      </c>
      <c r="P53" s="25" t="n">
        <f aca="false">ROUND(IF(OR(F53="NA",H53="NA"),0,IF(AND(F53&gt;=0,H53&gt;=0),(F53-H53),0)),-1)</f>
        <v>0</v>
      </c>
      <c r="Q53" s="25" t="n">
        <f aca="false">ROUND(IF(OR(E53="NA",I53="",I53="NA"),0,IF(AND(E53&gt;=0,I53&gt;=0,E53&gt;I53),(E53-I53),0)),-1)</f>
        <v>0</v>
      </c>
      <c r="R53" s="25" t="n">
        <f aca="false">ROUND(IF(OR(F53="NA",J53="",J53="NA"),0,IF(AND(J53&gt;=0,F53&gt;=0),(J53-F53),0)),-1)</f>
        <v>0</v>
      </c>
      <c r="S53" s="24"/>
      <c r="T53" s="25" t="str">
        <f aca="false">IF(S53="Yes","Report","No Action")</f>
        <v>No Action</v>
      </c>
      <c r="U53" s="26"/>
    </row>
    <row r="54" customFormat="false" ht="17.25" hidden="false" customHeight="true" outlineLevel="0" collapsed="false">
      <c r="A54" s="20" t="s">
        <v>34</v>
      </c>
      <c r="B54" s="21" t="s">
        <v>73</v>
      </c>
      <c r="C54" s="22" t="n">
        <v>30904</v>
      </c>
      <c r="D54" s="22" t="n">
        <v>618</v>
      </c>
      <c r="E54" s="22" t="n">
        <v>30904</v>
      </c>
      <c r="F54" s="23" t="n">
        <f aca="false">D54</f>
        <v>618</v>
      </c>
      <c r="G54" s="23" t="n">
        <f aca="false">E54</f>
        <v>30904</v>
      </c>
      <c r="H54" s="23" t="s">
        <v>28</v>
      </c>
      <c r="I54" s="24"/>
      <c r="J54" s="24"/>
      <c r="K54" s="25" t="n">
        <f aca="false">ROUND(IF(OR(C54="NA",E54="NA"),0,IF(AND(C54&gt;0,E54&gt;0),(C54-E54),0)),-1)</f>
        <v>0</v>
      </c>
      <c r="L54" s="25" t="n">
        <f aca="false">ROUND(IF(OR(D54="NA",F54="NA"),0,IF(AND(D54&gt;0,F54&gt;0),(D54-F54),0)),-1)</f>
        <v>0</v>
      </c>
      <c r="M54" s="25" t="n">
        <f aca="false">ROUND(IF(OR(C54="NA",G54="NA"),0,IF(AND(C54&gt;=0,G54&gt;=0),(C54-G54),0)),-1)</f>
        <v>0</v>
      </c>
      <c r="N54" s="25" t="n">
        <f aca="false">ROUND(IF(OR(D54="NA",H54="NA"),0,IF(AND(D54&gt;=0,H54&gt;=0),(D54-H54),0)),-1)</f>
        <v>0</v>
      </c>
      <c r="O54" s="25" t="n">
        <f aca="false">ROUND(IF(OR(E54="NA",G54="NA"),0,IF(AND(G54&gt;=0,E54&gt;=0),(E54-G54),0)),-1)</f>
        <v>0</v>
      </c>
      <c r="P54" s="25" t="n">
        <f aca="false">ROUND(IF(OR(F54="NA",H54="NA"),0,IF(AND(F54&gt;=0,H54&gt;=0),(F54-H54),0)),-1)</f>
        <v>0</v>
      </c>
      <c r="Q54" s="25" t="n">
        <f aca="false">ROUND(IF(OR(E54="NA",I54="",I54="NA"),0,IF(AND(E54&gt;=0,I54&gt;=0,E54&gt;I54),(E54-I54),0)),-1)</f>
        <v>0</v>
      </c>
      <c r="R54" s="25" t="n">
        <f aca="false">ROUND(IF(OR(F54="NA",J54="",J54="NA"),0,IF(AND(J54&gt;=0,F54&gt;=0),(J54-F54),0)),-1)</f>
        <v>0</v>
      </c>
      <c r="S54" s="24"/>
      <c r="T54" s="25" t="str">
        <f aca="false">IF(S54="Yes","Report","No Action")</f>
        <v>No Action</v>
      </c>
      <c r="U54" s="26"/>
    </row>
    <row r="55" customFormat="false" ht="17.25" hidden="false" customHeight="true" outlineLevel="0" collapsed="false">
      <c r="A55" s="20" t="s">
        <v>34</v>
      </c>
      <c r="B55" s="21" t="s">
        <v>74</v>
      </c>
      <c r="C55" s="22" t="n">
        <v>28703</v>
      </c>
      <c r="D55" s="22" t="n">
        <v>574</v>
      </c>
      <c r="E55" s="22" t="n">
        <v>28703</v>
      </c>
      <c r="F55" s="23" t="n">
        <f aca="false">D55</f>
        <v>574</v>
      </c>
      <c r="G55" s="23" t="n">
        <f aca="false">E55</f>
        <v>28703</v>
      </c>
      <c r="H55" s="23" t="s">
        <v>28</v>
      </c>
      <c r="I55" s="24"/>
      <c r="J55" s="24"/>
      <c r="K55" s="25" t="n">
        <f aca="false">ROUND(IF(OR(C55="NA",E55="NA"),0,IF(AND(C55&gt;0,E55&gt;0),(C55-E55),0)),-1)</f>
        <v>0</v>
      </c>
      <c r="L55" s="25" t="n">
        <f aca="false">ROUND(IF(OR(D55="NA",F55="NA"),0,IF(AND(D55&gt;0,F55&gt;0),(D55-F55),0)),-1)</f>
        <v>0</v>
      </c>
      <c r="M55" s="25" t="n">
        <f aca="false">ROUND(IF(OR(C55="NA",G55="NA"),0,IF(AND(C55&gt;=0,G55&gt;=0),(C55-G55),0)),-1)</f>
        <v>0</v>
      </c>
      <c r="N55" s="25" t="n">
        <f aca="false">ROUND(IF(OR(D55="NA",H55="NA"),0,IF(AND(D55&gt;=0,H55&gt;=0),(D55-H55),0)),-1)</f>
        <v>0</v>
      </c>
      <c r="O55" s="25" t="n">
        <f aca="false">ROUND(IF(OR(E55="NA",G55="NA"),0,IF(AND(G55&gt;=0,E55&gt;=0),(E55-G55),0)),-1)</f>
        <v>0</v>
      </c>
      <c r="P55" s="25" t="n">
        <f aca="false">ROUND(IF(OR(F55="NA",H55="NA"),0,IF(AND(F55&gt;=0,H55&gt;=0),(F55-H55),0)),-1)</f>
        <v>0</v>
      </c>
      <c r="Q55" s="25" t="n">
        <f aca="false">ROUND(IF(OR(E55="NA",I55="",I55="NA"),0,IF(AND(E55&gt;=0,I55&gt;=0,E55&gt;I55),(E55-I55),0)),-1)</f>
        <v>0</v>
      </c>
      <c r="R55" s="25" t="n">
        <f aca="false">ROUND(IF(OR(F55="NA",J55="",J55="NA"),0,IF(AND(J55&gt;=0,F55&gt;=0),(J55-F55),0)),-1)</f>
        <v>0</v>
      </c>
      <c r="S55" s="24"/>
      <c r="T55" s="25" t="str">
        <f aca="false">IF(S55="Yes","Report","No Action")</f>
        <v>No Action</v>
      </c>
      <c r="U55" s="26"/>
    </row>
    <row r="56" customFormat="false" ht="17.25" hidden="false" customHeight="true" outlineLevel="0" collapsed="false">
      <c r="A56" s="20" t="s">
        <v>34</v>
      </c>
      <c r="B56" s="21" t="s">
        <v>75</v>
      </c>
      <c r="C56" s="22" t="n">
        <v>28391</v>
      </c>
      <c r="D56" s="22" t="n">
        <v>568</v>
      </c>
      <c r="E56" s="22" t="n">
        <v>28391</v>
      </c>
      <c r="F56" s="23" t="n">
        <f aca="false">D56</f>
        <v>568</v>
      </c>
      <c r="G56" s="23" t="n">
        <f aca="false">E56</f>
        <v>28391</v>
      </c>
      <c r="H56" s="23" t="s">
        <v>28</v>
      </c>
      <c r="I56" s="24"/>
      <c r="J56" s="24"/>
      <c r="K56" s="25" t="n">
        <f aca="false">ROUND(IF(OR(C56="NA",E56="NA"),0,IF(AND(C56&gt;0,E56&gt;0),(C56-E56),0)),-1)</f>
        <v>0</v>
      </c>
      <c r="L56" s="25" t="n">
        <f aca="false">ROUND(IF(OR(D56="NA",F56="NA"),0,IF(AND(D56&gt;0,F56&gt;0),(D56-F56),0)),-1)</f>
        <v>0</v>
      </c>
      <c r="M56" s="25" t="n">
        <f aca="false">ROUND(IF(OR(C56="NA",G56="NA"),0,IF(AND(C56&gt;=0,G56&gt;=0),(C56-G56),0)),-1)</f>
        <v>0</v>
      </c>
      <c r="N56" s="25" t="n">
        <f aca="false">ROUND(IF(OR(D56="NA",H56="NA"),0,IF(AND(D56&gt;=0,H56&gt;=0),(D56-H56),0)),-1)</f>
        <v>0</v>
      </c>
      <c r="O56" s="25" t="n">
        <f aca="false">ROUND(IF(OR(E56="NA",G56="NA"),0,IF(AND(G56&gt;=0,E56&gt;=0),(E56-G56),0)),-1)</f>
        <v>0</v>
      </c>
      <c r="P56" s="25" t="n">
        <f aca="false">ROUND(IF(OR(F56="NA",H56="NA"),0,IF(AND(F56&gt;=0,H56&gt;=0),(F56-H56),0)),-1)</f>
        <v>0</v>
      </c>
      <c r="Q56" s="25" t="n">
        <f aca="false">ROUND(IF(OR(E56="NA",I56="",I56="NA"),0,IF(AND(E56&gt;=0,I56&gt;=0,E56&gt;I56),(E56-I56),0)),-1)</f>
        <v>0</v>
      </c>
      <c r="R56" s="25" t="n">
        <f aca="false">ROUND(IF(OR(F56="NA",J56="",J56="NA"),0,IF(AND(J56&gt;=0,F56&gt;=0),(J56-F56),0)),-1)</f>
        <v>0</v>
      </c>
      <c r="S56" s="24"/>
      <c r="T56" s="25" t="str">
        <f aca="false">IF(S56="Yes","Report","No Action")</f>
        <v>No Action</v>
      </c>
      <c r="U56" s="26"/>
    </row>
    <row r="57" customFormat="false" ht="17.25" hidden="false" customHeight="true" outlineLevel="0" collapsed="false">
      <c r="A57" s="20" t="s">
        <v>34</v>
      </c>
      <c r="B57" s="21" t="s">
        <v>76</v>
      </c>
      <c r="C57" s="22" t="n">
        <v>23468.75</v>
      </c>
      <c r="D57" s="22" t="n">
        <v>470</v>
      </c>
      <c r="E57" s="22" t="n">
        <v>23469</v>
      </c>
      <c r="F57" s="23" t="n">
        <f aca="false">D57</f>
        <v>470</v>
      </c>
      <c r="G57" s="23" t="n">
        <f aca="false">E57</f>
        <v>23469</v>
      </c>
      <c r="H57" s="23" t="s">
        <v>28</v>
      </c>
      <c r="I57" s="24"/>
      <c r="J57" s="24"/>
      <c r="K57" s="25" t="n">
        <f aca="false">ROUND(IF(OR(C57="NA",E57="NA"),0,IF(AND(C57&gt;0,E57&gt;0),(C57-E57),0)),-1)</f>
        <v>-0</v>
      </c>
      <c r="L57" s="25" t="n">
        <f aca="false">ROUND(IF(OR(D57="NA",F57="NA"),0,IF(AND(D57&gt;0,F57&gt;0),(D57-F57),0)),-1)</f>
        <v>0</v>
      </c>
      <c r="M57" s="25" t="n">
        <f aca="false">ROUND(IF(OR(C57="NA",G57="NA"),0,IF(AND(C57&gt;=0,G57&gt;=0),(C57-G57),0)),-1)</f>
        <v>-0</v>
      </c>
      <c r="N57" s="25" t="n">
        <f aca="false">ROUND(IF(OR(D57="NA",H57="NA"),0,IF(AND(D57&gt;=0,H57&gt;=0),(D57-H57),0)),-1)</f>
        <v>0</v>
      </c>
      <c r="O57" s="25" t="n">
        <f aca="false">ROUND(IF(OR(E57="NA",G57="NA"),0,IF(AND(G57&gt;=0,E57&gt;=0),(E57-G57),0)),-1)</f>
        <v>0</v>
      </c>
      <c r="P57" s="25" t="n">
        <f aca="false">ROUND(IF(OR(F57="NA",H57="NA"),0,IF(AND(F57&gt;=0,H57&gt;=0),(F57-H57),0)),-1)</f>
        <v>0</v>
      </c>
      <c r="Q57" s="25" t="n">
        <f aca="false">ROUND(IF(OR(E57="NA",I57="",I57="NA"),0,IF(AND(E57&gt;=0,I57&gt;=0,E57&gt;I57),(E57-I57),0)),-1)</f>
        <v>0</v>
      </c>
      <c r="R57" s="25" t="n">
        <f aca="false">ROUND(IF(OR(F57="NA",J57="",J57="NA"),0,IF(AND(J57&gt;=0,F57&gt;=0),(J57-F57),0)),-1)</f>
        <v>0</v>
      </c>
      <c r="S57" s="24"/>
      <c r="T57" s="25" t="str">
        <f aca="false">IF(S57="Yes","Report","No Action")</f>
        <v>No Action</v>
      </c>
      <c r="U57" s="26" t="s">
        <v>77</v>
      </c>
    </row>
    <row r="58" customFormat="false" ht="17.25" hidden="false" customHeight="true" outlineLevel="0" collapsed="false">
      <c r="A58" s="20" t="s">
        <v>34</v>
      </c>
      <c r="B58" s="21" t="s">
        <v>78</v>
      </c>
      <c r="C58" s="22" t="n">
        <v>20001</v>
      </c>
      <c r="D58" s="22" t="n">
        <v>400</v>
      </c>
      <c r="E58" s="22" t="n">
        <v>20001</v>
      </c>
      <c r="F58" s="23" t="n">
        <f aca="false">D58</f>
        <v>400</v>
      </c>
      <c r="G58" s="23" t="n">
        <f aca="false">E58</f>
        <v>20001</v>
      </c>
      <c r="H58" s="23" t="s">
        <v>28</v>
      </c>
      <c r="I58" s="24"/>
      <c r="J58" s="24"/>
      <c r="K58" s="25" t="n">
        <f aca="false">ROUND(IF(OR(C58="NA",E58="NA"),0,IF(AND(C58&gt;0,E58&gt;0),(C58-E58),0)),-1)</f>
        <v>0</v>
      </c>
      <c r="L58" s="25" t="n">
        <f aca="false">ROUND(IF(OR(D58="NA",F58="NA"),0,IF(AND(D58&gt;0,F58&gt;0),(D58-F58),0)),-1)</f>
        <v>0</v>
      </c>
      <c r="M58" s="25" t="n">
        <f aca="false">ROUND(IF(OR(C58="NA",G58="NA"),0,IF(AND(C58&gt;=0,G58&gt;=0),(C58-G58),0)),-1)</f>
        <v>0</v>
      </c>
      <c r="N58" s="25" t="n">
        <f aca="false">ROUND(IF(OR(D58="NA",H58="NA"),0,IF(AND(D58&gt;=0,H58&gt;=0),(D58-H58),0)),-1)</f>
        <v>0</v>
      </c>
      <c r="O58" s="25" t="n">
        <f aca="false">ROUND(IF(OR(E58="NA",G58="NA"),0,IF(AND(G58&gt;=0,E58&gt;=0),(E58-G58),0)),-1)</f>
        <v>0</v>
      </c>
      <c r="P58" s="25" t="n">
        <f aca="false">ROUND(IF(OR(F58="NA",H58="NA"),0,IF(AND(F58&gt;=0,H58&gt;=0),(F58-H58),0)),-1)</f>
        <v>0</v>
      </c>
      <c r="Q58" s="25" t="n">
        <f aca="false">ROUND(IF(OR(E58="NA",I58="",I58="NA"),0,IF(AND(E58&gt;=0,I58&gt;=0,E58&gt;I58),(E58-I58),0)),-1)</f>
        <v>0</v>
      </c>
      <c r="R58" s="25" t="n">
        <f aca="false">ROUND(IF(OR(F58="NA",J58="",J58="NA"),0,IF(AND(J58&gt;=0,F58&gt;=0),(J58-F58),0)),-1)</f>
        <v>0</v>
      </c>
      <c r="S58" s="24"/>
      <c r="T58" s="25" t="str">
        <f aca="false">IF(S58="Yes","Report","No Action")</f>
        <v>No Action</v>
      </c>
      <c r="U58" s="26"/>
    </row>
    <row r="59" customFormat="false" ht="17.25" hidden="false" customHeight="true" outlineLevel="0" collapsed="false">
      <c r="A59" s="20" t="s">
        <v>34</v>
      </c>
      <c r="B59" s="21" t="s">
        <v>79</v>
      </c>
      <c r="C59" s="22" t="n">
        <v>14844</v>
      </c>
      <c r="D59" s="22" t="n">
        <v>297</v>
      </c>
      <c r="E59" s="22" t="n">
        <v>14844</v>
      </c>
      <c r="F59" s="23" t="n">
        <f aca="false">D59</f>
        <v>297</v>
      </c>
      <c r="G59" s="23" t="n">
        <f aca="false">E59</f>
        <v>14844</v>
      </c>
      <c r="H59" s="23" t="s">
        <v>28</v>
      </c>
      <c r="I59" s="24"/>
      <c r="J59" s="24"/>
      <c r="K59" s="25" t="n">
        <f aca="false">ROUND(IF(OR(C59="NA",E59="NA"),0,IF(AND(C59&gt;0,E59&gt;0),(C59-E59),0)),-1)</f>
        <v>0</v>
      </c>
      <c r="L59" s="25" t="n">
        <f aca="false">ROUND(IF(OR(D59="NA",F59="NA"),0,IF(AND(D59&gt;0,F59&gt;0),(D59-F59),0)),-1)</f>
        <v>0</v>
      </c>
      <c r="M59" s="25" t="n">
        <f aca="false">ROUND(IF(OR(C59="NA",G59="NA"),0,IF(AND(C59&gt;=0,G59&gt;=0),(C59-G59),0)),-1)</f>
        <v>0</v>
      </c>
      <c r="N59" s="25" t="n">
        <f aca="false">ROUND(IF(OR(D59="NA",H59="NA"),0,IF(AND(D59&gt;=0,H59&gt;=0),(D59-H59),0)),-1)</f>
        <v>0</v>
      </c>
      <c r="O59" s="25" t="n">
        <f aca="false">ROUND(IF(OR(E59="NA",G59="NA"),0,IF(AND(G59&gt;=0,E59&gt;=0),(E59-G59),0)),-1)</f>
        <v>0</v>
      </c>
      <c r="P59" s="25" t="n">
        <f aca="false">ROUND(IF(OR(F59="NA",H59="NA"),0,IF(AND(F59&gt;=0,H59&gt;=0),(F59-H59),0)),-1)</f>
        <v>0</v>
      </c>
      <c r="Q59" s="25" t="n">
        <f aca="false">ROUND(IF(OR(E59="NA",I59="",I59="NA"),0,IF(AND(E59&gt;=0,I59&gt;=0,E59&gt;I59),(E59-I59),0)),-1)</f>
        <v>0</v>
      </c>
      <c r="R59" s="25" t="n">
        <f aca="false">ROUND(IF(OR(F59="NA",J59="",J59="NA"),0,IF(AND(J59&gt;=0,F59&gt;=0),(J59-F59),0)),-1)</f>
        <v>0</v>
      </c>
      <c r="S59" s="24"/>
      <c r="T59" s="25" t="str">
        <f aca="false">IF(S59="Yes","Report","No Action")</f>
        <v>No Action</v>
      </c>
      <c r="U59" s="26"/>
    </row>
    <row r="60" customFormat="false" ht="17.25" hidden="false" customHeight="true" outlineLevel="0" collapsed="false">
      <c r="A60" s="20" t="s">
        <v>34</v>
      </c>
      <c r="B60" s="21" t="s">
        <v>80</v>
      </c>
      <c r="C60" s="22" t="n">
        <v>6066</v>
      </c>
      <c r="D60" s="22" t="n">
        <v>122</v>
      </c>
      <c r="E60" s="22" t="n">
        <v>6066</v>
      </c>
      <c r="F60" s="23" t="n">
        <f aca="false">D60</f>
        <v>122</v>
      </c>
      <c r="G60" s="23" t="n">
        <f aca="false">E60</f>
        <v>6066</v>
      </c>
      <c r="H60" s="23" t="s">
        <v>28</v>
      </c>
      <c r="I60" s="24"/>
      <c r="J60" s="24"/>
      <c r="K60" s="25" t="n">
        <f aca="false">ROUND(IF(OR(C60="NA",E60="NA"),0,IF(AND(C60&gt;0,E60&gt;0),(C60-E60),0)),-1)</f>
        <v>0</v>
      </c>
      <c r="L60" s="25" t="n">
        <f aca="false">ROUND(IF(OR(D60="NA",F60="NA"),0,IF(AND(D60&gt;0,F60&gt;0),(D60-F60),0)),-1)</f>
        <v>0</v>
      </c>
      <c r="M60" s="25" t="n">
        <f aca="false">ROUND(IF(OR(C60="NA",G60="NA"),0,IF(AND(C60&gt;=0,G60&gt;=0),(C60-G60),0)),-1)</f>
        <v>0</v>
      </c>
      <c r="N60" s="25" t="n">
        <f aca="false">ROUND(IF(OR(D60="NA",H60="NA"),0,IF(AND(D60&gt;=0,H60&gt;=0),(D60-H60),0)),-1)</f>
        <v>0</v>
      </c>
      <c r="O60" s="25" t="n">
        <f aca="false">ROUND(IF(OR(E60="NA",G60="NA"),0,IF(AND(G60&gt;=0,E60&gt;=0),(E60-G60),0)),-1)</f>
        <v>0</v>
      </c>
      <c r="P60" s="25" t="n">
        <f aca="false">ROUND(IF(OR(F60="NA",H60="NA"),0,IF(AND(F60&gt;=0,H60&gt;=0),(F60-H60),0)),-1)</f>
        <v>0</v>
      </c>
      <c r="Q60" s="25" t="n">
        <f aca="false">ROUND(IF(OR(E60="NA",I60="",I60="NA"),0,IF(AND(E60&gt;=0,I60&gt;=0,E60&gt;I60),(E60-I60),0)),-1)</f>
        <v>0</v>
      </c>
      <c r="R60" s="25" t="n">
        <f aca="false">ROUND(IF(OR(F60="NA",J60="",J60="NA"),0,IF(AND(J60&gt;=0,F60&gt;=0),(J60-F60),0)),-1)</f>
        <v>0</v>
      </c>
      <c r="S60" s="24"/>
      <c r="T60" s="25" t="str">
        <f aca="false">IF(S60="Yes","Report","No Action")</f>
        <v>No Action</v>
      </c>
      <c r="U60" s="26"/>
    </row>
    <row r="61" customFormat="false" ht="17.25" hidden="false" customHeight="true" outlineLevel="0" collapsed="false">
      <c r="A61" s="20" t="s">
        <v>34</v>
      </c>
      <c r="B61" s="21" t="s">
        <v>33</v>
      </c>
      <c r="C61" s="22" t="n">
        <v>3972</v>
      </c>
      <c r="D61" s="22" t="n">
        <v>79</v>
      </c>
      <c r="E61" s="22" t="n">
        <v>3972</v>
      </c>
      <c r="F61" s="23" t="n">
        <f aca="false">D61</f>
        <v>79</v>
      </c>
      <c r="G61" s="23" t="n">
        <f aca="false">E61</f>
        <v>3972</v>
      </c>
      <c r="H61" s="23" t="s">
        <v>28</v>
      </c>
      <c r="I61" s="24"/>
      <c r="J61" s="24"/>
      <c r="K61" s="25" t="n">
        <f aca="false">ROUND(IF(OR(C61="NA",E61="NA"),0,IF(AND(C61&gt;0,E61&gt;0),(C61-E61),0)),-1)</f>
        <v>0</v>
      </c>
      <c r="L61" s="25" t="n">
        <f aca="false">ROUND(IF(OR(D61="NA",F61="NA"),0,IF(AND(D61&gt;0,F61&gt;0),(D61-F61),0)),-1)</f>
        <v>0</v>
      </c>
      <c r="M61" s="25" t="n">
        <f aca="false">ROUND(IF(OR(C61="NA",G61="NA"),0,IF(AND(C61&gt;=0,G61&gt;=0),(C61-G61),0)),-1)</f>
        <v>0</v>
      </c>
      <c r="N61" s="25" t="n">
        <f aca="false">ROUND(IF(OR(D61="NA",H61="NA"),0,IF(AND(D61&gt;=0,H61&gt;=0),(D61-H61),0)),-1)</f>
        <v>0</v>
      </c>
      <c r="O61" s="25" t="n">
        <f aca="false">ROUND(IF(OR(E61="NA",G61="NA"),0,IF(AND(G61&gt;=0,E61&gt;=0),(E61-G61),0)),-1)</f>
        <v>0</v>
      </c>
      <c r="P61" s="25" t="n">
        <f aca="false">ROUND(IF(OR(F61="NA",H61="NA"),0,IF(AND(F61&gt;=0,H61&gt;=0),(F61-H61),0)),-1)</f>
        <v>0</v>
      </c>
      <c r="Q61" s="25" t="n">
        <f aca="false">ROUND(IF(OR(E61="NA",I61="",I61="NA"),0,IF(AND(E61&gt;=0,I61&gt;=0,E61&gt;I61),(E61-I61),0)),-1)</f>
        <v>0</v>
      </c>
      <c r="R61" s="25" t="n">
        <f aca="false">ROUND(IF(OR(F61="NA",J61="",J61="NA"),0,IF(AND(J61&gt;=0,F61&gt;=0),(J61-F61),0)),-1)</f>
        <v>0</v>
      </c>
      <c r="S61" s="24"/>
      <c r="T61" s="25" t="str">
        <f aca="false">IF(S61="Yes","Report","No Action")</f>
        <v>No Action</v>
      </c>
      <c r="U61" s="26"/>
    </row>
    <row r="62" customFormat="false" ht="17.25" hidden="false" customHeight="true" outlineLevel="0" collapsed="false">
      <c r="A62" s="20" t="s">
        <v>34</v>
      </c>
      <c r="B62" s="21" t="s">
        <v>81</v>
      </c>
      <c r="C62" s="22" t="n">
        <v>2494</v>
      </c>
      <c r="D62" s="22" t="n">
        <v>50</v>
      </c>
      <c r="E62" s="22" t="n">
        <v>2494</v>
      </c>
      <c r="F62" s="23" t="n">
        <f aca="false">D62</f>
        <v>50</v>
      </c>
      <c r="G62" s="23" t="n">
        <f aca="false">E62</f>
        <v>2494</v>
      </c>
      <c r="H62" s="23" t="s">
        <v>28</v>
      </c>
      <c r="I62" s="24"/>
      <c r="J62" s="24"/>
      <c r="K62" s="25" t="n">
        <f aca="false">ROUND(IF(OR(C62="NA",E62="NA"),0,IF(AND(C62&gt;0,E62&gt;0),(C62-E62),0)),-1)</f>
        <v>0</v>
      </c>
      <c r="L62" s="25" t="n">
        <f aca="false">ROUND(IF(OR(D62="NA",F62="NA"),0,IF(AND(D62&gt;0,F62&gt;0),(D62-F62),0)),-1)</f>
        <v>0</v>
      </c>
      <c r="M62" s="25" t="n">
        <f aca="false">ROUND(IF(OR(C62="NA",G62="NA"),0,IF(AND(C62&gt;=0,G62&gt;=0),(C62-G62),0)),-1)</f>
        <v>0</v>
      </c>
      <c r="N62" s="25" t="n">
        <f aca="false">ROUND(IF(OR(D62="NA",H62="NA"),0,IF(AND(D62&gt;=0,H62&gt;=0),(D62-H62),0)),-1)</f>
        <v>0</v>
      </c>
      <c r="O62" s="25" t="n">
        <f aca="false">ROUND(IF(OR(E62="NA",G62="NA"),0,IF(AND(G62&gt;=0,E62&gt;=0),(E62-G62),0)),-1)</f>
        <v>0</v>
      </c>
      <c r="P62" s="25" t="n">
        <f aca="false">ROUND(IF(OR(F62="NA",H62="NA"),0,IF(AND(F62&gt;=0,H62&gt;=0),(F62-H62),0)),-1)</f>
        <v>0</v>
      </c>
      <c r="Q62" s="25" t="n">
        <f aca="false">ROUND(IF(OR(E62="NA",I62="",I62="NA"),0,IF(AND(E62&gt;=0,I62&gt;=0,E62&gt;I62),(E62-I62),0)),-1)</f>
        <v>0</v>
      </c>
      <c r="R62" s="25" t="n">
        <f aca="false">ROUND(IF(OR(F62="NA",J62="",J62="NA"),0,IF(AND(J62&gt;=0,F62&gt;=0),(J62-F62),0)),-1)</f>
        <v>0</v>
      </c>
      <c r="S62" s="24"/>
      <c r="T62" s="25" t="str">
        <f aca="false">IF(S62="Yes","Report","No Action")</f>
        <v>No Action</v>
      </c>
      <c r="U62" s="26"/>
    </row>
    <row r="63" customFormat="false" ht="17.25" hidden="false" customHeight="true" outlineLevel="0" collapsed="false">
      <c r="A63" s="20" t="s">
        <v>82</v>
      </c>
      <c r="B63" s="21" t="s">
        <v>83</v>
      </c>
      <c r="C63" s="22" t="n">
        <v>1629800</v>
      </c>
      <c r="D63" s="22" t="n">
        <v>16298</v>
      </c>
      <c r="E63" s="22" t="n">
        <v>1629800</v>
      </c>
      <c r="F63" s="22" t="n">
        <v>16298</v>
      </c>
      <c r="G63" s="23" t="n">
        <f aca="false">E63</f>
        <v>1629800</v>
      </c>
      <c r="H63" s="23" t="s">
        <v>28</v>
      </c>
      <c r="I63" s="24"/>
      <c r="J63" s="24"/>
      <c r="K63" s="25" t="n">
        <f aca="false">ROUND(IF(OR(C63="NA",E63="NA"),0,IF(AND(C63&gt;0,E63&gt;0),(C63-E63),0)),-1)</f>
        <v>0</v>
      </c>
      <c r="L63" s="25" t="n">
        <f aca="false">ROUND(IF(OR(D63="NA",F63="NA"),0,IF(AND(D63&gt;0,F63&gt;0),(D63-F63),0)),-1)</f>
        <v>0</v>
      </c>
      <c r="M63" s="25" t="n">
        <f aca="false">ROUND(IF(OR(C63="NA",G63="NA"),0,IF(AND(C63&gt;=0,G63&gt;=0),(C63-G63),0)),-1)</f>
        <v>0</v>
      </c>
      <c r="N63" s="25" t="n">
        <f aca="false">ROUND(IF(OR(D63="NA",H63="NA"),0,IF(AND(D63&gt;=0,H63&gt;=0),(D63-H63),0)),-1)</f>
        <v>0</v>
      </c>
      <c r="O63" s="25" t="n">
        <f aca="false">ROUND(IF(OR(E63="NA",G63="NA"),0,IF(AND(G63&gt;=0,E63&gt;=0),(E63-G63),0)),-1)</f>
        <v>0</v>
      </c>
      <c r="P63" s="25" t="n">
        <f aca="false">ROUND(IF(OR(F63="NA",H63="NA"),0,IF(AND(F63&gt;=0,H63&gt;=0),(F63-H63),0)),-1)</f>
        <v>0</v>
      </c>
      <c r="Q63" s="25" t="n">
        <f aca="false">ROUND(IF(OR(E63="NA",I63="",I63="NA"),0,IF(AND(E63&gt;=0,I63&gt;=0,E63&gt;I63),(E63-I63),0)),-1)</f>
        <v>0</v>
      </c>
      <c r="R63" s="25" t="n">
        <f aca="false">ROUND(IF(OR(F63="NA",J63="",J63="NA"),0,IF(AND(J63&gt;=0,F63&gt;=0),(J63-F63),0)),-1)</f>
        <v>0</v>
      </c>
      <c r="S63" s="24"/>
      <c r="T63" s="25" t="str">
        <f aca="false">IF(S63="Yes","Report","No Action")</f>
        <v>No Action</v>
      </c>
      <c r="U63" s="26"/>
    </row>
    <row r="64" customFormat="false" ht="17.25" hidden="false" customHeight="true" outlineLevel="0" collapsed="false">
      <c r="A64" s="20" t="s">
        <v>84</v>
      </c>
      <c r="B64" s="21" t="s">
        <v>85</v>
      </c>
      <c r="C64" s="23" t="s">
        <v>28</v>
      </c>
      <c r="D64" s="23" t="s">
        <v>28</v>
      </c>
      <c r="E64" s="22" t="n">
        <v>23220629</v>
      </c>
      <c r="F64" s="22" t="s">
        <v>28</v>
      </c>
      <c r="G64" s="23" t="n">
        <f aca="false">E64</f>
        <v>23220629</v>
      </c>
      <c r="H64" s="23" t="s">
        <v>28</v>
      </c>
      <c r="I64" s="24"/>
      <c r="J64" s="24"/>
      <c r="K64" s="25" t="n">
        <f aca="false">ROUND(IF(OR(C64="NA",E64="NA"),0,IF(AND(C64&gt;0,E64&gt;0),(C64-E64),0)),-1)</f>
        <v>0</v>
      </c>
      <c r="L64" s="25" t="n">
        <f aca="false">ROUND(IF(OR(D64="NA",F64="NA"),0,IF(AND(D64&gt;0,F64&gt;0),(D64-F64),0)),-1)</f>
        <v>0</v>
      </c>
      <c r="M64" s="25" t="n">
        <f aca="false">ROUND(IF(OR(C64="NA",G64="NA"),0,IF(AND(C64&gt;=0,G64&gt;=0),(C64-G64),0)),-1)</f>
        <v>0</v>
      </c>
      <c r="N64" s="25" t="n">
        <f aca="false">ROUND(IF(OR(D64="NA",H64="NA"),0,IF(AND(D64&gt;=0,H64&gt;=0),(D64-H64),0)),-1)</f>
        <v>0</v>
      </c>
      <c r="O64" s="25" t="n">
        <f aca="false">ROUND(IF(OR(E64="NA",G64="NA"),0,IF(AND(G64&gt;=0,E64&gt;=0),(E64-G64),0)),-1)</f>
        <v>0</v>
      </c>
      <c r="P64" s="25" t="n">
        <f aca="false">ROUND(IF(OR(F64="NA",H64="NA"),0,IF(AND(F64&gt;=0,H64&gt;=0),(F64-H64),0)),-1)</f>
        <v>0</v>
      </c>
      <c r="Q64" s="25" t="n">
        <f aca="false">ROUND(IF(OR(E64="NA",I64="",I64="NA"),0,IF(AND(E64&gt;=0,I64&gt;=0,E64&gt;I64),(E64-I64),0)),-1)</f>
        <v>0</v>
      </c>
      <c r="R64" s="25" t="n">
        <f aca="false">ROUND(IF(OR(F64="NA",J64="",J64="NA"),0,IF(AND(J64&gt;=0,F64&gt;=0),(J64-F64),0)),-1)</f>
        <v>0</v>
      </c>
      <c r="S64" s="24"/>
      <c r="T64" s="25" t="str">
        <f aca="false">IF(S64="Yes","Report","No Action")</f>
        <v>No Action</v>
      </c>
      <c r="U64" s="26" t="s">
        <v>86</v>
      </c>
    </row>
    <row r="65" customFormat="false" ht="17.25" hidden="false" customHeight="true" outlineLevel="0" collapsed="false">
      <c r="A65" s="20" t="s">
        <v>87</v>
      </c>
      <c r="B65" s="21" t="s">
        <v>88</v>
      </c>
      <c r="C65" s="23" t="s">
        <v>28</v>
      </c>
      <c r="D65" s="23" t="s">
        <v>28</v>
      </c>
      <c r="E65" s="22" t="n">
        <v>3832750</v>
      </c>
      <c r="F65" s="22" t="s">
        <v>28</v>
      </c>
      <c r="G65" s="23" t="n">
        <f aca="false">E65</f>
        <v>3832750</v>
      </c>
      <c r="H65" s="23" t="s">
        <v>28</v>
      </c>
      <c r="I65" s="24"/>
      <c r="J65" s="24"/>
      <c r="K65" s="25" t="n">
        <f aca="false">ROUND(IF(OR(C65="NA",E65="NA"),0,IF(AND(C65&gt;0,E65&gt;0),(C65-E65),0)),-1)</f>
        <v>0</v>
      </c>
      <c r="L65" s="25" t="n">
        <f aca="false">ROUND(IF(OR(D65="NA",F65="NA"),0,IF(AND(D65&gt;0,F65&gt;0),(D65-F65),0)),-1)</f>
        <v>0</v>
      </c>
      <c r="M65" s="25" t="n">
        <f aca="false">ROUND(IF(OR(C65="NA",G65="NA"),0,IF(AND(C65&gt;=0,G65&gt;=0),(C65-G65),0)),-1)</f>
        <v>0</v>
      </c>
      <c r="N65" s="25" t="n">
        <f aca="false">ROUND(IF(OR(D65="NA",H65="NA"),0,IF(AND(D65&gt;=0,H65&gt;=0),(D65-H65),0)),-1)</f>
        <v>0</v>
      </c>
      <c r="O65" s="25" t="n">
        <f aca="false">ROUND(IF(OR(E65="NA",G65="NA"),0,IF(AND(G65&gt;=0,E65&gt;=0),(E65-G65),0)),-1)</f>
        <v>0</v>
      </c>
      <c r="P65" s="25" t="n">
        <f aca="false">ROUND(IF(OR(F65="NA",H65="NA"),0,IF(AND(F65&gt;=0,H65&gt;=0),(F65-H65),0)),-1)</f>
        <v>0</v>
      </c>
      <c r="Q65" s="25" t="n">
        <f aca="false">ROUND(IF(OR(E65="NA",I65="",I65="NA"),0,IF(AND(E65&gt;=0,I65&gt;=0,E65&gt;I65),(E65-I65),0)),-1)</f>
        <v>0</v>
      </c>
      <c r="R65" s="25" t="n">
        <f aca="false">ROUND(IF(OR(F65="NA",J65="",J65="NA"),0,IF(AND(J65&gt;=0,F65&gt;=0),(J65-F65),0)),-1)</f>
        <v>0</v>
      </c>
      <c r="S65" s="24"/>
      <c r="T65" s="25" t="str">
        <f aca="false">IF(S65="Yes","Report","No Action")</f>
        <v>No Action</v>
      </c>
      <c r="U65" s="26" t="s">
        <v>89</v>
      </c>
    </row>
    <row r="66" customFormat="false" ht="17.25" hidden="false" customHeight="true" outlineLevel="0" collapsed="false">
      <c r="A66" s="27"/>
      <c r="B66" s="28"/>
      <c r="C66" s="29"/>
      <c r="D66" s="29"/>
      <c r="E66" s="23"/>
      <c r="F66" s="23"/>
      <c r="G66" s="29"/>
      <c r="H66" s="23"/>
      <c r="I66" s="30"/>
      <c r="J66" s="30"/>
      <c r="K66" s="25"/>
      <c r="L66" s="25"/>
      <c r="M66" s="25"/>
      <c r="N66" s="25"/>
      <c r="O66" s="25"/>
      <c r="P66" s="25"/>
      <c r="Q66" s="25"/>
      <c r="R66" s="25"/>
      <c r="S66" s="24"/>
      <c r="T66" s="25"/>
      <c r="U66" s="31"/>
    </row>
    <row r="67" customFormat="false" ht="17.25" hidden="false" customHeight="true" outlineLevel="0" collapsed="false">
      <c r="A67" s="27"/>
      <c r="B67" s="28"/>
      <c r="C67" s="29"/>
      <c r="D67" s="29"/>
      <c r="E67" s="23"/>
      <c r="F67" s="23"/>
      <c r="G67" s="29"/>
      <c r="H67" s="23"/>
      <c r="I67" s="30"/>
      <c r="J67" s="30"/>
      <c r="K67" s="25"/>
      <c r="L67" s="25"/>
      <c r="M67" s="25"/>
      <c r="N67" s="25"/>
      <c r="O67" s="25"/>
      <c r="P67" s="25"/>
      <c r="Q67" s="25"/>
      <c r="R67" s="25"/>
      <c r="S67" s="24"/>
      <c r="T67" s="25"/>
      <c r="U67" s="31"/>
    </row>
    <row r="68" customFormat="false" ht="17.25" hidden="false" customHeight="true" outlineLevel="0" collapsed="false">
      <c r="A68" s="27"/>
      <c r="B68" s="28"/>
      <c r="C68" s="29"/>
      <c r="D68" s="29"/>
      <c r="E68" s="23"/>
      <c r="F68" s="23"/>
      <c r="G68" s="29"/>
      <c r="H68" s="23"/>
      <c r="I68" s="30"/>
      <c r="J68" s="30"/>
      <c r="K68" s="25"/>
      <c r="L68" s="25"/>
      <c r="M68" s="25"/>
      <c r="N68" s="25"/>
      <c r="O68" s="25"/>
      <c r="P68" s="25"/>
      <c r="Q68" s="25"/>
      <c r="R68" s="25"/>
      <c r="S68" s="24"/>
      <c r="T68" s="25"/>
      <c r="U68" s="31"/>
    </row>
    <row r="69" customFormat="false" ht="17.25" hidden="false" customHeight="true" outlineLevel="0" collapsed="false">
      <c r="A69" s="27"/>
      <c r="B69" s="28"/>
      <c r="C69" s="29"/>
      <c r="D69" s="29"/>
      <c r="E69" s="23"/>
      <c r="F69" s="23"/>
      <c r="G69" s="29"/>
      <c r="H69" s="23"/>
      <c r="I69" s="30"/>
      <c r="J69" s="30"/>
      <c r="K69" s="25"/>
      <c r="L69" s="25"/>
      <c r="M69" s="25"/>
      <c r="N69" s="25"/>
      <c r="O69" s="25"/>
      <c r="P69" s="25"/>
      <c r="Q69" s="25"/>
      <c r="R69" s="25"/>
      <c r="S69" s="24"/>
      <c r="T69" s="25"/>
      <c r="U69" s="31"/>
    </row>
    <row r="70" customFormat="false" ht="17.25" hidden="false" customHeight="true" outlineLevel="0" collapsed="false">
      <c r="A70" s="27"/>
      <c r="B70" s="28"/>
      <c r="C70" s="29"/>
      <c r="D70" s="29"/>
      <c r="E70" s="23"/>
      <c r="F70" s="23"/>
      <c r="G70" s="29"/>
      <c r="H70" s="23"/>
      <c r="I70" s="30"/>
      <c r="J70" s="30"/>
      <c r="K70" s="25"/>
      <c r="L70" s="25"/>
      <c r="M70" s="25"/>
      <c r="N70" s="25"/>
      <c r="O70" s="25"/>
      <c r="P70" s="25"/>
      <c r="Q70" s="25"/>
      <c r="R70" s="25"/>
      <c r="S70" s="24"/>
      <c r="T70" s="25"/>
      <c r="U70" s="31"/>
    </row>
    <row r="71" customFormat="false" ht="17.25" hidden="false" customHeight="true" outlineLevel="0" collapsed="false">
      <c r="A71" s="27"/>
      <c r="B71" s="28"/>
      <c r="C71" s="29"/>
      <c r="D71" s="29"/>
      <c r="E71" s="23"/>
      <c r="F71" s="23"/>
      <c r="G71" s="29"/>
      <c r="H71" s="23"/>
      <c r="I71" s="30"/>
      <c r="J71" s="30"/>
      <c r="K71" s="25"/>
      <c r="L71" s="25"/>
      <c r="M71" s="25"/>
      <c r="N71" s="25"/>
      <c r="O71" s="25"/>
      <c r="P71" s="25"/>
      <c r="Q71" s="25"/>
      <c r="R71" s="25"/>
      <c r="S71" s="24"/>
      <c r="T71" s="25"/>
      <c r="U71" s="31"/>
    </row>
    <row r="72" customFormat="false" ht="17.25" hidden="false" customHeight="true" outlineLevel="0" collapsed="false">
      <c r="A72" s="27"/>
      <c r="B72" s="28"/>
      <c r="C72" s="29"/>
      <c r="D72" s="29"/>
      <c r="E72" s="23"/>
      <c r="F72" s="23"/>
      <c r="G72" s="29"/>
      <c r="H72" s="23"/>
      <c r="I72" s="30"/>
      <c r="J72" s="30"/>
      <c r="K72" s="25"/>
      <c r="L72" s="25"/>
      <c r="M72" s="25"/>
      <c r="N72" s="25"/>
      <c r="O72" s="25"/>
      <c r="P72" s="25"/>
      <c r="Q72" s="25"/>
      <c r="R72" s="25"/>
      <c r="S72" s="24"/>
      <c r="T72" s="25"/>
      <c r="U72" s="31"/>
    </row>
    <row r="73" customFormat="false" ht="17.25" hidden="false" customHeight="true" outlineLevel="0" collapsed="false">
      <c r="A73" s="27"/>
      <c r="B73" s="28"/>
      <c r="C73" s="29"/>
      <c r="D73" s="29"/>
      <c r="E73" s="23"/>
      <c r="F73" s="23"/>
      <c r="G73" s="29"/>
      <c r="H73" s="23"/>
      <c r="I73" s="30"/>
      <c r="J73" s="30"/>
      <c r="K73" s="25"/>
      <c r="L73" s="25"/>
      <c r="M73" s="25"/>
      <c r="N73" s="25"/>
      <c r="O73" s="25"/>
      <c r="P73" s="25"/>
      <c r="Q73" s="25"/>
      <c r="R73" s="25"/>
      <c r="S73" s="24"/>
      <c r="T73" s="25"/>
      <c r="U73" s="31"/>
    </row>
    <row r="74" customFormat="false" ht="17.25" hidden="false" customHeight="true" outlineLevel="0" collapsed="false">
      <c r="A74" s="27"/>
      <c r="B74" s="28"/>
      <c r="C74" s="29"/>
      <c r="D74" s="29"/>
      <c r="E74" s="23"/>
      <c r="F74" s="23"/>
      <c r="G74" s="29"/>
      <c r="H74" s="23"/>
      <c r="I74" s="30"/>
      <c r="J74" s="30"/>
      <c r="K74" s="25"/>
      <c r="L74" s="25"/>
      <c r="M74" s="25"/>
      <c r="N74" s="25"/>
      <c r="O74" s="25"/>
      <c r="P74" s="25"/>
      <c r="Q74" s="25"/>
      <c r="R74" s="25"/>
      <c r="S74" s="24"/>
      <c r="T74" s="25"/>
      <c r="U74" s="31"/>
    </row>
    <row r="75" customFormat="false" ht="17.25" hidden="false" customHeight="true" outlineLevel="0" collapsed="false">
      <c r="A75" s="27"/>
      <c r="B75" s="28"/>
      <c r="C75" s="29"/>
      <c r="D75" s="29"/>
      <c r="E75" s="23"/>
      <c r="F75" s="23"/>
      <c r="G75" s="29"/>
      <c r="H75" s="23"/>
      <c r="I75" s="30"/>
      <c r="J75" s="30"/>
      <c r="K75" s="25"/>
      <c r="L75" s="25"/>
      <c r="M75" s="25"/>
      <c r="N75" s="25"/>
      <c r="O75" s="25"/>
      <c r="P75" s="25"/>
      <c r="Q75" s="25"/>
      <c r="R75" s="25"/>
      <c r="S75" s="24"/>
      <c r="T75" s="25"/>
      <c r="U75" s="31"/>
    </row>
    <row r="76" customFormat="false" ht="17.25" hidden="false" customHeight="true" outlineLevel="0" collapsed="false">
      <c r="A76" s="27"/>
      <c r="B76" s="28"/>
      <c r="C76" s="29"/>
      <c r="D76" s="29"/>
      <c r="E76" s="23"/>
      <c r="F76" s="23"/>
      <c r="G76" s="29"/>
      <c r="H76" s="23"/>
      <c r="I76" s="30"/>
      <c r="J76" s="30"/>
      <c r="K76" s="25"/>
      <c r="L76" s="25"/>
      <c r="M76" s="25"/>
      <c r="N76" s="25"/>
      <c r="O76" s="25"/>
      <c r="P76" s="25"/>
      <c r="Q76" s="25"/>
      <c r="R76" s="25"/>
      <c r="S76" s="24"/>
      <c r="T76" s="25"/>
      <c r="U76" s="31"/>
    </row>
    <row r="77" customFormat="false" ht="17.25" hidden="false" customHeight="true" outlineLevel="0" collapsed="false">
      <c r="A77" s="27"/>
      <c r="B77" s="28"/>
      <c r="C77" s="29"/>
      <c r="D77" s="29"/>
      <c r="E77" s="23"/>
      <c r="F77" s="23"/>
      <c r="G77" s="29"/>
      <c r="H77" s="23"/>
      <c r="I77" s="30"/>
      <c r="J77" s="30"/>
      <c r="K77" s="25"/>
      <c r="L77" s="25"/>
      <c r="M77" s="25"/>
      <c r="N77" s="25"/>
      <c r="O77" s="25"/>
      <c r="P77" s="25"/>
      <c r="Q77" s="25"/>
      <c r="R77" s="25"/>
      <c r="S77" s="24"/>
      <c r="T77" s="25"/>
      <c r="U77" s="31"/>
    </row>
    <row r="78" customFormat="false" ht="17.25" hidden="false" customHeight="true" outlineLevel="0" collapsed="false">
      <c r="A78" s="27"/>
      <c r="B78" s="28"/>
      <c r="C78" s="29"/>
      <c r="D78" s="29"/>
      <c r="E78" s="23"/>
      <c r="F78" s="23"/>
      <c r="G78" s="29"/>
      <c r="H78" s="23"/>
      <c r="I78" s="30"/>
      <c r="J78" s="30"/>
      <c r="K78" s="25"/>
      <c r="L78" s="25"/>
      <c r="M78" s="25"/>
      <c r="N78" s="25"/>
      <c r="O78" s="25"/>
      <c r="P78" s="25"/>
      <c r="Q78" s="25"/>
      <c r="R78" s="25"/>
      <c r="S78" s="24"/>
      <c r="T78" s="25"/>
      <c r="U78" s="31"/>
    </row>
    <row r="79" customFormat="false" ht="17.25" hidden="false" customHeight="true" outlineLevel="0" collapsed="false">
      <c r="A79" s="27"/>
      <c r="B79" s="28"/>
      <c r="C79" s="29"/>
      <c r="D79" s="29"/>
      <c r="E79" s="23"/>
      <c r="F79" s="23"/>
      <c r="G79" s="29"/>
      <c r="H79" s="23"/>
      <c r="I79" s="30"/>
      <c r="J79" s="30"/>
      <c r="K79" s="25"/>
      <c r="L79" s="25"/>
      <c r="M79" s="25"/>
      <c r="N79" s="25"/>
      <c r="O79" s="25"/>
      <c r="P79" s="25"/>
      <c r="Q79" s="25"/>
      <c r="R79" s="25"/>
      <c r="S79" s="24"/>
      <c r="T79" s="25"/>
      <c r="U79" s="31"/>
    </row>
    <row r="80" customFormat="false" ht="17.25" hidden="false" customHeight="true" outlineLevel="0" collapsed="false">
      <c r="A80" s="27"/>
      <c r="B80" s="28"/>
      <c r="C80" s="29"/>
      <c r="D80" s="29"/>
      <c r="E80" s="23"/>
      <c r="F80" s="23"/>
      <c r="G80" s="29"/>
      <c r="H80" s="23"/>
      <c r="I80" s="30"/>
      <c r="J80" s="30"/>
      <c r="K80" s="25"/>
      <c r="L80" s="25"/>
      <c r="M80" s="25"/>
      <c r="N80" s="25"/>
      <c r="O80" s="25"/>
      <c r="P80" s="25"/>
      <c r="Q80" s="25"/>
      <c r="R80" s="25"/>
      <c r="S80" s="24"/>
      <c r="T80" s="25"/>
      <c r="U80" s="31"/>
    </row>
    <row r="81" customFormat="false" ht="17.25" hidden="false" customHeight="true" outlineLevel="0" collapsed="false">
      <c r="A81" s="27"/>
      <c r="B81" s="28"/>
      <c r="C81" s="29"/>
      <c r="D81" s="29"/>
      <c r="E81" s="23"/>
      <c r="F81" s="23"/>
      <c r="G81" s="29"/>
      <c r="H81" s="23"/>
      <c r="I81" s="30"/>
      <c r="J81" s="30"/>
      <c r="K81" s="25"/>
      <c r="L81" s="25"/>
      <c r="M81" s="25"/>
      <c r="N81" s="25"/>
      <c r="O81" s="25"/>
      <c r="P81" s="25"/>
      <c r="Q81" s="25"/>
      <c r="R81" s="25"/>
      <c r="S81" s="24"/>
      <c r="T81" s="25"/>
      <c r="U81" s="31"/>
    </row>
    <row r="82" customFormat="false" ht="17.25" hidden="false" customHeight="true" outlineLevel="0" collapsed="false">
      <c r="A82" s="27"/>
      <c r="B82" s="28"/>
      <c r="C82" s="29"/>
      <c r="D82" s="29"/>
      <c r="E82" s="23"/>
      <c r="F82" s="23"/>
      <c r="G82" s="29"/>
      <c r="H82" s="23"/>
      <c r="I82" s="30"/>
      <c r="J82" s="30"/>
      <c r="K82" s="25"/>
      <c r="L82" s="25"/>
      <c r="M82" s="25"/>
      <c r="N82" s="25"/>
      <c r="O82" s="25"/>
      <c r="P82" s="25"/>
      <c r="Q82" s="25"/>
      <c r="R82" s="25"/>
      <c r="S82" s="24"/>
      <c r="T82" s="25"/>
      <c r="U82" s="31"/>
    </row>
    <row r="83" customFormat="false" ht="17.25" hidden="false" customHeight="true" outlineLevel="0" collapsed="false">
      <c r="A83" s="27"/>
      <c r="B83" s="28"/>
      <c r="C83" s="29"/>
      <c r="D83" s="29"/>
      <c r="E83" s="23"/>
      <c r="F83" s="23"/>
      <c r="G83" s="29"/>
      <c r="H83" s="23"/>
      <c r="I83" s="30"/>
      <c r="J83" s="30"/>
      <c r="K83" s="25"/>
      <c r="L83" s="25"/>
      <c r="M83" s="25"/>
      <c r="N83" s="25"/>
      <c r="O83" s="25"/>
      <c r="P83" s="25"/>
      <c r="Q83" s="25"/>
      <c r="R83" s="25"/>
      <c r="S83" s="24"/>
      <c r="T83" s="25"/>
      <c r="U83" s="31"/>
    </row>
    <row r="84" customFormat="false" ht="17.25" hidden="false" customHeight="true" outlineLevel="0" collapsed="false">
      <c r="A84" s="27"/>
      <c r="B84" s="28"/>
      <c r="C84" s="29"/>
      <c r="D84" s="29"/>
      <c r="E84" s="23"/>
      <c r="F84" s="23"/>
      <c r="G84" s="29"/>
      <c r="H84" s="23"/>
      <c r="I84" s="30"/>
      <c r="J84" s="30"/>
      <c r="K84" s="25"/>
      <c r="L84" s="25"/>
      <c r="M84" s="25"/>
      <c r="N84" s="25"/>
      <c r="O84" s="25"/>
      <c r="P84" s="25"/>
      <c r="Q84" s="25"/>
      <c r="R84" s="25"/>
      <c r="S84" s="24"/>
      <c r="T84" s="25"/>
      <c r="U84" s="31"/>
    </row>
    <row r="85" customFormat="false" ht="17.25" hidden="false" customHeight="true" outlineLevel="0" collapsed="false">
      <c r="A85" s="27"/>
      <c r="B85" s="28"/>
      <c r="C85" s="29"/>
      <c r="D85" s="29"/>
      <c r="E85" s="23"/>
      <c r="F85" s="23"/>
      <c r="G85" s="29"/>
      <c r="H85" s="23"/>
      <c r="I85" s="30"/>
      <c r="J85" s="30"/>
      <c r="K85" s="25"/>
      <c r="L85" s="25"/>
      <c r="M85" s="25"/>
      <c r="N85" s="25"/>
      <c r="O85" s="25"/>
      <c r="P85" s="25"/>
      <c r="Q85" s="25"/>
      <c r="R85" s="25"/>
      <c r="S85" s="24"/>
      <c r="T85" s="25"/>
      <c r="U85" s="31"/>
    </row>
    <row r="86" customFormat="false" ht="17.25" hidden="false" customHeight="true" outlineLevel="0" collapsed="false">
      <c r="A86" s="27"/>
      <c r="B86" s="28"/>
      <c r="C86" s="29"/>
      <c r="D86" s="29"/>
      <c r="E86" s="23"/>
      <c r="F86" s="23"/>
      <c r="G86" s="29"/>
      <c r="H86" s="23"/>
      <c r="I86" s="30"/>
      <c r="J86" s="30"/>
      <c r="K86" s="25"/>
      <c r="L86" s="25"/>
      <c r="M86" s="25"/>
      <c r="N86" s="25"/>
      <c r="O86" s="25"/>
      <c r="P86" s="25"/>
      <c r="Q86" s="25"/>
      <c r="R86" s="25"/>
      <c r="S86" s="24"/>
      <c r="T86" s="25"/>
      <c r="U86" s="31"/>
    </row>
    <row r="87" customFormat="false" ht="17.25" hidden="false" customHeight="true" outlineLevel="0" collapsed="false">
      <c r="A87" s="27"/>
      <c r="B87" s="28"/>
      <c r="C87" s="29"/>
      <c r="D87" s="29"/>
      <c r="E87" s="23"/>
      <c r="F87" s="23"/>
      <c r="G87" s="29"/>
      <c r="H87" s="23"/>
      <c r="I87" s="30"/>
      <c r="J87" s="30"/>
      <c r="K87" s="25"/>
      <c r="L87" s="25"/>
      <c r="M87" s="25"/>
      <c r="N87" s="25"/>
      <c r="O87" s="25"/>
      <c r="P87" s="25"/>
      <c r="Q87" s="25"/>
      <c r="R87" s="25"/>
      <c r="S87" s="24"/>
      <c r="T87" s="25"/>
      <c r="U87" s="31"/>
    </row>
    <row r="88" customFormat="false" ht="17.25" hidden="false" customHeight="true" outlineLevel="0" collapsed="false">
      <c r="A88" s="27"/>
      <c r="B88" s="28"/>
      <c r="C88" s="29"/>
      <c r="D88" s="29"/>
      <c r="E88" s="23"/>
      <c r="F88" s="23"/>
      <c r="G88" s="29"/>
      <c r="H88" s="23"/>
      <c r="I88" s="30"/>
      <c r="J88" s="30"/>
      <c r="K88" s="25"/>
      <c r="L88" s="25"/>
      <c r="M88" s="25"/>
      <c r="N88" s="25"/>
      <c r="O88" s="25"/>
      <c r="P88" s="25"/>
      <c r="Q88" s="25"/>
      <c r="R88" s="25"/>
      <c r="S88" s="24"/>
      <c r="T88" s="25"/>
      <c r="U88" s="31"/>
    </row>
    <row r="89" customFormat="false" ht="17.25" hidden="false" customHeight="true" outlineLevel="0" collapsed="false">
      <c r="A89" s="27"/>
      <c r="B89" s="28"/>
      <c r="C89" s="29"/>
      <c r="D89" s="29"/>
      <c r="E89" s="23"/>
      <c r="F89" s="23"/>
      <c r="G89" s="29"/>
      <c r="H89" s="23"/>
      <c r="I89" s="30"/>
      <c r="J89" s="30"/>
      <c r="K89" s="25"/>
      <c r="L89" s="25"/>
      <c r="M89" s="25"/>
      <c r="N89" s="25"/>
      <c r="O89" s="25"/>
      <c r="P89" s="25"/>
      <c r="Q89" s="25"/>
      <c r="R89" s="25"/>
      <c r="S89" s="24"/>
      <c r="T89" s="25"/>
      <c r="U89" s="31"/>
    </row>
    <row r="90" customFormat="false" ht="17.25" hidden="false" customHeight="true" outlineLevel="0" collapsed="false">
      <c r="A90" s="27"/>
      <c r="B90" s="28"/>
      <c r="C90" s="29"/>
      <c r="D90" s="29"/>
      <c r="E90" s="23"/>
      <c r="F90" s="23"/>
      <c r="G90" s="29"/>
      <c r="H90" s="23"/>
      <c r="I90" s="30"/>
      <c r="J90" s="30"/>
      <c r="K90" s="25"/>
      <c r="L90" s="25"/>
      <c r="M90" s="25"/>
      <c r="N90" s="25"/>
      <c r="O90" s="25"/>
      <c r="P90" s="25"/>
      <c r="Q90" s="25"/>
      <c r="R90" s="25"/>
      <c r="S90" s="24"/>
      <c r="T90" s="25"/>
      <c r="U90" s="31"/>
    </row>
    <row r="91" customFormat="false" ht="17.25" hidden="false" customHeight="true" outlineLevel="0" collapsed="false">
      <c r="A91" s="27"/>
      <c r="B91" s="28"/>
      <c r="C91" s="29"/>
      <c r="D91" s="29"/>
      <c r="E91" s="23"/>
      <c r="F91" s="23"/>
      <c r="G91" s="29"/>
      <c r="H91" s="23"/>
      <c r="I91" s="30"/>
      <c r="J91" s="30"/>
      <c r="K91" s="25"/>
      <c r="L91" s="25"/>
      <c r="M91" s="25"/>
      <c r="N91" s="25"/>
      <c r="O91" s="25"/>
      <c r="P91" s="25"/>
      <c r="Q91" s="25"/>
      <c r="R91" s="25"/>
      <c r="S91" s="24"/>
      <c r="T91" s="25"/>
      <c r="U91" s="31"/>
    </row>
    <row r="92" customFormat="false" ht="17.25" hidden="false" customHeight="true" outlineLevel="0" collapsed="false">
      <c r="A92" s="27"/>
      <c r="B92" s="28"/>
      <c r="C92" s="29"/>
      <c r="D92" s="29"/>
      <c r="E92" s="23"/>
      <c r="F92" s="23"/>
      <c r="G92" s="29"/>
      <c r="H92" s="23"/>
      <c r="I92" s="30"/>
      <c r="J92" s="30"/>
      <c r="K92" s="25"/>
      <c r="L92" s="25"/>
      <c r="M92" s="25"/>
      <c r="N92" s="25"/>
      <c r="O92" s="25"/>
      <c r="P92" s="25"/>
      <c r="Q92" s="25"/>
      <c r="R92" s="25"/>
      <c r="S92" s="24"/>
      <c r="T92" s="25"/>
      <c r="U92" s="31"/>
    </row>
    <row r="93" customFormat="false" ht="17.25" hidden="false" customHeight="true" outlineLevel="0" collapsed="false">
      <c r="A93" s="32"/>
      <c r="B93" s="33"/>
      <c r="C93" s="34"/>
      <c r="D93" s="34"/>
      <c r="E93" s="34"/>
      <c r="F93" s="23"/>
      <c r="G93" s="34"/>
      <c r="H93" s="23"/>
      <c r="I93" s="30"/>
      <c r="J93" s="30"/>
      <c r="K93" s="25"/>
      <c r="L93" s="25"/>
      <c r="M93" s="25"/>
      <c r="N93" s="25"/>
      <c r="O93" s="25"/>
      <c r="P93" s="25"/>
      <c r="Q93" s="25"/>
      <c r="R93" s="25"/>
      <c r="S93" s="35"/>
      <c r="T93" s="36"/>
      <c r="U93" s="37"/>
    </row>
    <row r="94" s="38" customFormat="true" ht="18" hidden="false" customHeight="true" outlineLevel="0" collapsed="false">
      <c r="B94" s="39"/>
      <c r="C94" s="40"/>
      <c r="D94" s="40"/>
      <c r="E94" s="40"/>
      <c r="F94" s="23"/>
      <c r="G94" s="40"/>
      <c r="H94" s="23"/>
      <c r="I94" s="30"/>
      <c r="J94" s="30"/>
      <c r="K94" s="25"/>
      <c r="L94" s="25"/>
      <c r="M94" s="25"/>
      <c r="N94" s="25"/>
      <c r="O94" s="25"/>
      <c r="P94" s="25"/>
      <c r="Q94" s="25"/>
      <c r="R94" s="25"/>
      <c r="S94" s="41"/>
      <c r="T94" s="42"/>
      <c r="U94" s="43"/>
    </row>
    <row r="95" s="38" customFormat="true" ht="16.5" hidden="false" customHeight="true" outlineLevel="0" collapsed="false">
      <c r="B95" s="44"/>
      <c r="C95" s="41"/>
      <c r="E95" s="40"/>
      <c r="F95" s="41"/>
      <c r="G95" s="40"/>
      <c r="H95" s="23"/>
      <c r="I95" s="40"/>
      <c r="J95" s="41"/>
      <c r="K95" s="25"/>
      <c r="L95" s="25"/>
      <c r="M95" s="25"/>
      <c r="N95" s="25"/>
      <c r="O95" s="25"/>
      <c r="P95" s="25"/>
      <c r="Q95" s="25"/>
      <c r="R95" s="25"/>
      <c r="S95" s="41"/>
      <c r="T95" s="42"/>
      <c r="U95" s="43"/>
    </row>
    <row r="96" s="38" customFormat="true" ht="18" hidden="false" customHeight="true" outlineLevel="0" collapsed="false">
      <c r="B96" s="39"/>
      <c r="C96" s="41"/>
      <c r="D96" s="41"/>
      <c r="E96" s="41"/>
      <c r="F96" s="41"/>
      <c r="G96" s="40"/>
      <c r="H96" s="23"/>
      <c r="I96" s="41"/>
      <c r="J96" s="41"/>
      <c r="K96" s="25"/>
      <c r="L96" s="25"/>
      <c r="M96" s="25"/>
      <c r="N96" s="25"/>
      <c r="O96" s="25"/>
      <c r="P96" s="25"/>
      <c r="Q96" s="25"/>
      <c r="R96" s="25"/>
      <c r="S96" s="41"/>
      <c r="T96" s="42"/>
      <c r="U96" s="43"/>
    </row>
    <row r="97" s="38" customFormat="true" ht="31.5" hidden="false" customHeight="true" outlineLevel="0" collapsed="false">
      <c r="B97" s="45"/>
      <c r="C97" s="41"/>
      <c r="D97" s="41"/>
      <c r="E97" s="40"/>
      <c r="F97" s="41"/>
      <c r="G97" s="41"/>
      <c r="H97" s="41"/>
      <c r="I97" s="41"/>
      <c r="J97" s="41"/>
      <c r="K97" s="25"/>
      <c r="L97" s="25"/>
      <c r="M97" s="25"/>
      <c r="N97" s="25"/>
      <c r="O97" s="25"/>
      <c r="P97" s="25"/>
      <c r="Q97" s="25"/>
      <c r="R97" s="25"/>
      <c r="S97" s="41"/>
      <c r="T97" s="42"/>
      <c r="U97" s="43"/>
    </row>
    <row r="98" s="38" customFormat="true" ht="16.5" hidden="false" customHeight="true" outlineLevel="0" collapsed="false">
      <c r="B98" s="45"/>
      <c r="C98" s="41"/>
      <c r="D98" s="41"/>
      <c r="E98" s="40"/>
      <c r="F98" s="41"/>
      <c r="G98" s="41"/>
      <c r="H98" s="41"/>
      <c r="I98" s="41"/>
      <c r="J98" s="41"/>
      <c r="K98" s="25"/>
      <c r="L98" s="25"/>
      <c r="M98" s="25"/>
      <c r="N98" s="25"/>
      <c r="O98" s="25"/>
      <c r="P98" s="25"/>
      <c r="Q98" s="25"/>
      <c r="R98" s="25"/>
      <c r="S98" s="41"/>
      <c r="T98" s="42"/>
      <c r="U98" s="43"/>
    </row>
    <row r="99" s="38" customFormat="true" ht="16.5" hidden="false" customHeight="true" outlineLevel="0" collapsed="false">
      <c r="B99" s="45"/>
      <c r="C99" s="41"/>
      <c r="D99" s="41"/>
      <c r="E99" s="41"/>
      <c r="F99" s="41"/>
      <c r="G99" s="41"/>
      <c r="H99" s="41"/>
      <c r="I99" s="41"/>
      <c r="J99" s="41"/>
      <c r="K99" s="25"/>
      <c r="L99" s="25"/>
      <c r="M99" s="25"/>
      <c r="N99" s="25"/>
      <c r="O99" s="25"/>
      <c r="P99" s="25"/>
      <c r="Q99" s="25"/>
      <c r="R99" s="25"/>
      <c r="S99" s="41"/>
      <c r="T99" s="42"/>
      <c r="U99" s="43"/>
    </row>
    <row r="100" s="38" customFormat="true" ht="16.5" hidden="false" customHeight="true" outlineLevel="0" collapsed="false">
      <c r="B100" s="45"/>
      <c r="C100" s="41"/>
      <c r="D100" s="41"/>
      <c r="E100" s="41"/>
      <c r="F100" s="41"/>
      <c r="G100" s="41"/>
      <c r="H100" s="41"/>
      <c r="I100" s="41"/>
      <c r="J100" s="41"/>
      <c r="K100" s="25"/>
      <c r="L100" s="25"/>
      <c r="M100" s="25"/>
      <c r="N100" s="25"/>
      <c r="O100" s="25"/>
      <c r="P100" s="25"/>
      <c r="Q100" s="25"/>
      <c r="R100" s="25"/>
      <c r="S100" s="41"/>
      <c r="T100" s="42"/>
      <c r="U100" s="43"/>
    </row>
    <row r="101" s="38" customFormat="true" ht="16.5" hidden="false" customHeight="true" outlineLevel="0" collapsed="false">
      <c r="B101" s="45"/>
      <c r="C101" s="41"/>
      <c r="D101" s="41"/>
      <c r="E101" s="41"/>
      <c r="F101" s="41"/>
      <c r="G101" s="41"/>
      <c r="H101" s="41"/>
      <c r="I101" s="41"/>
      <c r="J101" s="41"/>
      <c r="K101" s="25"/>
      <c r="L101" s="25"/>
      <c r="M101" s="25"/>
      <c r="N101" s="25"/>
      <c r="O101" s="25"/>
      <c r="P101" s="25"/>
      <c r="Q101" s="25"/>
      <c r="R101" s="25"/>
      <c r="S101" s="41"/>
      <c r="T101" s="42"/>
      <c r="U101" s="43"/>
    </row>
    <row r="102" s="38" customFormat="true" ht="16.5" hidden="false" customHeight="true" outlineLevel="0" collapsed="false">
      <c r="B102" s="45"/>
      <c r="C102" s="41"/>
      <c r="D102" s="41"/>
      <c r="E102" s="41"/>
      <c r="F102" s="41"/>
      <c r="G102" s="41"/>
      <c r="H102" s="41"/>
      <c r="I102" s="41"/>
      <c r="J102" s="41"/>
      <c r="K102" s="25"/>
      <c r="L102" s="25"/>
      <c r="M102" s="25"/>
      <c r="N102" s="25"/>
      <c r="O102" s="25"/>
      <c r="P102" s="25"/>
      <c r="Q102" s="25"/>
      <c r="R102" s="25"/>
      <c r="S102" s="41"/>
      <c r="T102" s="42"/>
      <c r="U102" s="43"/>
    </row>
    <row r="103" s="38" customFormat="true" ht="16.5" hidden="false" customHeight="true" outlineLevel="0" collapsed="false">
      <c r="B103" s="45"/>
      <c r="C103" s="41"/>
      <c r="D103" s="41"/>
      <c r="E103" s="41"/>
      <c r="F103" s="41"/>
      <c r="G103" s="41"/>
      <c r="H103" s="41"/>
      <c r="I103" s="41"/>
      <c r="J103" s="41"/>
      <c r="K103" s="25"/>
      <c r="L103" s="25"/>
      <c r="M103" s="25"/>
      <c r="N103" s="25"/>
      <c r="O103" s="25"/>
      <c r="P103" s="25"/>
      <c r="Q103" s="25"/>
      <c r="R103" s="25"/>
      <c r="S103" s="41"/>
      <c r="T103" s="42"/>
      <c r="U103" s="43"/>
    </row>
    <row r="104" s="38" customFormat="true" ht="16.5" hidden="false" customHeight="true" outlineLevel="0" collapsed="false">
      <c r="B104" s="45"/>
      <c r="C104" s="41"/>
      <c r="D104" s="41"/>
      <c r="E104" s="41"/>
      <c r="F104" s="41"/>
      <c r="G104" s="41"/>
      <c r="H104" s="41"/>
      <c r="I104" s="41"/>
      <c r="J104" s="41"/>
      <c r="K104" s="25"/>
      <c r="L104" s="25"/>
      <c r="M104" s="25"/>
      <c r="N104" s="25"/>
      <c r="O104" s="25"/>
      <c r="P104" s="25"/>
      <c r="Q104" s="25"/>
      <c r="R104" s="25"/>
      <c r="S104" s="41"/>
      <c r="T104" s="42"/>
      <c r="U104" s="43"/>
    </row>
    <row r="105" s="38" customFormat="true" ht="16.5" hidden="false" customHeight="true" outlineLevel="0" collapsed="false">
      <c r="B105" s="45"/>
      <c r="C105" s="41"/>
      <c r="D105" s="41"/>
      <c r="E105" s="41"/>
      <c r="F105" s="41"/>
      <c r="G105" s="41"/>
      <c r="H105" s="41"/>
      <c r="I105" s="41"/>
      <c r="J105" s="41"/>
      <c r="K105" s="25"/>
      <c r="L105" s="25"/>
      <c r="M105" s="25"/>
      <c r="N105" s="25"/>
      <c r="O105" s="25"/>
      <c r="P105" s="25"/>
      <c r="Q105" s="25"/>
      <c r="R105" s="25"/>
      <c r="S105" s="41"/>
      <c r="T105" s="42"/>
      <c r="U105" s="43"/>
    </row>
    <row r="106" customFormat="false" ht="15.75" hidden="false" customHeight="true" outlineLevel="0" collapsed="false"/>
  </sheetData>
  <autoFilter ref="A11:U105">
    <filterColumn colId="0" hiddenButton="1"/>
    <filterColumn colId="1" hiddenButton="1"/>
    <filterColumn colId="2" hiddenButton="1"/>
    <filterColumn colId="3" hiddenButton="1"/>
  </autoFilter>
  <mergeCells count="18">
    <mergeCell ref="B5:D5"/>
    <mergeCell ref="B6:D6"/>
    <mergeCell ref="B7:D7"/>
    <mergeCell ref="B8:D8"/>
    <mergeCell ref="A10:A11"/>
    <mergeCell ref="B10:B11"/>
    <mergeCell ref="C10:D10"/>
    <mergeCell ref="E10:F10"/>
    <mergeCell ref="G10:H10"/>
    <mergeCell ref="I10:J10"/>
    <mergeCell ref="K10:R10"/>
    <mergeCell ref="S10:S11"/>
    <mergeCell ref="T10:T11"/>
    <mergeCell ref="U10:U11"/>
    <mergeCell ref="K11:L11"/>
    <mergeCell ref="M11:N11"/>
    <mergeCell ref="O11:P11"/>
    <mergeCell ref="Q11:R11"/>
  </mergeCells>
  <conditionalFormatting sqref="B12:B94">
    <cfRule type="duplicateValues" priority="2" aboveAverage="0" equalAverage="0" bottom="0" percent="0" rank="0" text="" dxfId="9"/>
  </conditionalFormatting>
  <dataValidations count="4">
    <dataValidation allowBlank="true" errorStyle="stop" operator="between" showDropDown="false" showErrorMessage="false" showInputMessage="false" sqref="A12:A65" type="list">
      <formula1>Masters!$C$2:$C$24</formula1>
      <formula2>0</formula2>
    </dataValidation>
    <dataValidation allowBlank="true" errorStyle="stop" operator="between" showDropDown="false" showErrorMessage="false" showInputMessage="false" sqref="S12:S65" type="list">
      <formula1>Masters!$G$2:$G$6</formula1>
      <formula2>0</formula2>
    </dataValidation>
    <dataValidation allowBlank="true" errorStyle="stop" operator="between" showDropDown="false" showErrorMessage="false" showInputMessage="false" sqref="B6:B7" type="list">
      <formula1>Masters!$A$2:$A$7</formula1>
      <formula2>0</formula2>
    </dataValidation>
    <dataValidation allowBlank="true" errorStyle="stop" operator="between" showDropDown="false" showErrorMessage="false" showInputMessage="false" sqref="B8" type="list">
      <formula1>Masters!$E$2:$E$17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7"/>
  <sheetViews>
    <sheetView showFormulas="false" showGridLines="true" showRowColHeaders="true" showZeros="true" rightToLeft="false" tabSelected="false" showOutlineSymbols="true" defaultGridColor="true" view="normal" topLeftCell="A33" colorId="64" zoomScale="85" zoomScaleNormal="85" zoomScalePageLayoutView="100" workbookViewId="0">
      <selection pane="topLeft" activeCell="D37" activeCellId="0" sqref="D37"/>
    </sheetView>
  </sheetViews>
  <sheetFormatPr defaultColWidth="8.6796875" defaultRowHeight="15" zeroHeight="false" outlineLevelRow="0" outlineLevelCol="0"/>
  <cols>
    <col collapsed="false" customWidth="true" hidden="false" outlineLevel="0" max="1" min="1" style="46" width="29.71"/>
    <col collapsed="false" customWidth="true" hidden="false" outlineLevel="0" max="2" min="2" style="46" width="24.29"/>
    <col collapsed="false" customWidth="true" hidden="false" outlineLevel="0" max="3" min="3" style="46" width="20.42"/>
    <col collapsed="false" customWidth="true" hidden="false" outlineLevel="0" max="4" min="4" style="46" width="25.85"/>
    <col collapsed="false" customWidth="true" hidden="false" outlineLevel="0" max="5" min="5" style="46" width="22.29"/>
    <col collapsed="false" customWidth="true" hidden="false" outlineLevel="0" max="6" min="6" style="46" width="20.85"/>
    <col collapsed="false" customWidth="true" hidden="false" outlineLevel="0" max="7" min="7" style="46" width="20"/>
    <col collapsed="false" customWidth="true" hidden="false" outlineLevel="0" max="9" min="8" style="46" width="23.86"/>
    <col collapsed="false" customWidth="true" hidden="false" outlineLevel="0" max="10" min="10" style="46" width="14.71"/>
    <col collapsed="false" customWidth="true" hidden="false" outlineLevel="0" max="11" min="11" style="46" width="15.42"/>
    <col collapsed="false" customWidth="true" hidden="false" outlineLevel="0" max="12" min="12" style="46" width="16.84"/>
    <col collapsed="false" customWidth="true" hidden="false" outlineLevel="0" max="13" min="13" style="46" width="16.14"/>
    <col collapsed="false" customWidth="true" hidden="false" outlineLevel="0" max="14" min="14" style="46" width="17"/>
    <col collapsed="false" customWidth="true" hidden="false" outlineLevel="0" max="15" min="15" style="46" width="17.15"/>
    <col collapsed="false" customWidth="true" hidden="false" outlineLevel="0" max="16" min="16" style="46" width="19.29"/>
    <col collapsed="false" customWidth="true" hidden="false" outlineLevel="0" max="17" min="17" style="46" width="18.14"/>
  </cols>
  <sheetData>
    <row r="1" customFormat="false" ht="19.5" hidden="false" customHeight="true" outlineLevel="0" collapsed="false">
      <c r="A1" s="2" t="s">
        <v>0</v>
      </c>
      <c r="B1" s="2"/>
      <c r="C1" s="2"/>
      <c r="D1" s="2"/>
    </row>
    <row r="2" customFormat="false" ht="15.75" hidden="false" customHeight="true" outlineLevel="0" collapsed="false"/>
    <row r="3" customFormat="false" ht="21" hidden="false" customHeight="true" outlineLevel="0" collapsed="false">
      <c r="A3" s="3" t="s">
        <v>90</v>
      </c>
      <c r="B3" s="4"/>
      <c r="C3" s="5"/>
    </row>
    <row r="4" customFormat="false" ht="16.5" hidden="false" customHeight="true" outlineLevel="0" collapsed="false"/>
    <row r="5" customFormat="false" ht="15.75" hidden="false" customHeight="true" outlineLevel="0" collapsed="false">
      <c r="A5" s="6" t="s">
        <v>2</v>
      </c>
      <c r="B5" s="47" t="s">
        <v>3</v>
      </c>
      <c r="C5" s="47"/>
      <c r="D5" s="47"/>
    </row>
    <row r="6" customFormat="false" ht="15.75" hidden="false" customHeight="true" outlineLevel="0" collapsed="false">
      <c r="A6" s="8" t="s">
        <v>4</v>
      </c>
      <c r="B6" s="47" t="s">
        <v>5</v>
      </c>
      <c r="C6" s="47"/>
      <c r="D6" s="47"/>
    </row>
    <row r="7" customFormat="false" ht="15.75" hidden="false" customHeight="true" outlineLevel="0" collapsed="false">
      <c r="A7" s="8" t="s">
        <v>6</v>
      </c>
      <c r="B7" s="47" t="s">
        <v>7</v>
      </c>
      <c r="C7" s="47"/>
      <c r="D7" s="47"/>
    </row>
    <row r="8" customFormat="false" ht="15.75" hidden="false" customHeight="true" outlineLevel="0" collapsed="false">
      <c r="A8" s="8" t="s">
        <v>8</v>
      </c>
      <c r="B8" s="47" t="s">
        <v>9</v>
      </c>
      <c r="C8" s="47"/>
      <c r="D8" s="47"/>
    </row>
    <row r="10" customFormat="false" ht="15.75" hidden="false" customHeight="true" outlineLevel="0" collapsed="false"/>
    <row r="11" customFormat="false" ht="15.75" hidden="false" customHeight="true" outlineLevel="0" collapsed="false">
      <c r="A11" s="48" t="s">
        <v>10</v>
      </c>
      <c r="B11" s="11" t="s">
        <v>12</v>
      </c>
      <c r="C11" s="11"/>
      <c r="D11" s="11" t="s">
        <v>13</v>
      </c>
      <c r="E11" s="11"/>
      <c r="F11" s="11" t="s">
        <v>14</v>
      </c>
      <c r="G11" s="11"/>
      <c r="H11" s="11" t="s">
        <v>15</v>
      </c>
      <c r="I11" s="11"/>
      <c r="J11" s="13" t="s">
        <v>16</v>
      </c>
      <c r="K11" s="13"/>
      <c r="L11" s="13"/>
      <c r="M11" s="13"/>
      <c r="N11" s="13"/>
      <c r="O11" s="13"/>
      <c r="P11" s="13"/>
      <c r="Q11" s="13"/>
    </row>
    <row r="12" customFormat="false" ht="15.75" hidden="false" customHeight="true" outlineLevel="0" collapsed="false">
      <c r="A12" s="48"/>
      <c r="B12" s="16" t="s">
        <v>20</v>
      </c>
      <c r="C12" s="16" t="s">
        <v>21</v>
      </c>
      <c r="D12" s="16" t="s">
        <v>20</v>
      </c>
      <c r="E12" s="16" t="s">
        <v>21</v>
      </c>
      <c r="F12" s="16" t="s">
        <v>20</v>
      </c>
      <c r="G12" s="16" t="s">
        <v>21</v>
      </c>
      <c r="H12" s="16" t="s">
        <v>20</v>
      </c>
      <c r="I12" s="16" t="s">
        <v>21</v>
      </c>
      <c r="J12" s="16" t="s">
        <v>22</v>
      </c>
      <c r="K12" s="16"/>
      <c r="L12" s="16" t="s">
        <v>23</v>
      </c>
      <c r="M12" s="16"/>
      <c r="N12" s="16" t="s">
        <v>24</v>
      </c>
      <c r="O12" s="16"/>
      <c r="P12" s="16" t="s">
        <v>91</v>
      </c>
      <c r="Q12" s="16"/>
    </row>
    <row r="13" customFormat="false" ht="15.75" hidden="false" customHeight="true" outlineLevel="0" collapsed="false">
      <c r="A13" s="49" t="str">
        <f aca="false">Masters!C2</f>
        <v>92B - Salaries Receipts</v>
      </c>
      <c r="B13" s="50" t="n">
        <f aca="false">SUMIF(Reco!$A$12:$A$65,Summary!A13,Reco!$C$12:$C$65)</f>
        <v>0</v>
      </c>
      <c r="C13" s="50" t="n">
        <f aca="false">SUMIF(Reco!$A$12:$A$65,Summary!A13,Reco!$D$12:$D$65)</f>
        <v>0</v>
      </c>
      <c r="D13" s="50" t="n">
        <f aca="false">SUMIF(Reco!$A$12:$A$65,Summary!A13,Reco!$E$12:$E$65)</f>
        <v>0</v>
      </c>
      <c r="E13" s="50" t="n">
        <f aca="false">SUMIF(Reco!$A$12:$A$65,Summary!A13,Reco!$F$12:$F$65)</f>
        <v>0</v>
      </c>
      <c r="F13" s="50" t="n">
        <f aca="false">SUMIF(Reco!$A$12:$A$65,Summary!A13,Reco!$G$12:$G$65)</f>
        <v>0</v>
      </c>
      <c r="G13" s="50" t="n">
        <f aca="false">SUMIF(Reco!$A$12:$A$65,Summary!A13,Reco!$H$12:$H$65)</f>
        <v>0</v>
      </c>
      <c r="H13" s="50" t="n">
        <f aca="false">SUMIF(Reco!$A$12:$A$65,Summary!A13,Reco!$I$12:$I$65)</f>
        <v>0</v>
      </c>
      <c r="I13" s="51" t="n">
        <f aca="false">SUMIF(Reco!$A$12:$A$65,Summary!A13,Reco!$J$12:$J$65)</f>
        <v>0</v>
      </c>
      <c r="J13" s="50" t="n">
        <f aca="false">IF(AND(B13&gt;0,D13&gt;0),(B13-D13),0)</f>
        <v>0</v>
      </c>
      <c r="K13" s="50" t="n">
        <f aca="false">IF(AND(C13&gt;0,E13&gt;0),(C13-E13),0)</f>
        <v>0</v>
      </c>
      <c r="L13" s="50" t="n">
        <f aca="false">IF(AND(B13&gt;0,F13&gt;0),(B13-F13),0)</f>
        <v>0</v>
      </c>
      <c r="M13" s="50" t="n">
        <f aca="false">IF(AND(C13&gt;0,G13&gt;0),(C13-G13),0)</f>
        <v>0</v>
      </c>
      <c r="N13" s="50" t="n">
        <f aca="false">IF(AND(F13&gt;0,D13&gt;0),(D13-F13),0)</f>
        <v>0</v>
      </c>
      <c r="O13" s="50" t="n">
        <f aca="false">IF(AND(E13&gt;0,G13&gt;0),(E13-G13),0)</f>
        <v>0</v>
      </c>
      <c r="P13" s="50" t="n">
        <f aca="false">IF(AND(F13&gt;0,H13&gt;0),(F13-H13),0)</f>
        <v>0</v>
      </c>
      <c r="Q13" s="50" t="n">
        <f aca="false">IF(AND(I13&gt;0,G13&gt;0),(G13-I13),0)</f>
        <v>0</v>
      </c>
    </row>
    <row r="14" customFormat="false" ht="15.75" hidden="false" customHeight="true" outlineLevel="0" collapsed="false">
      <c r="A14" s="49" t="str">
        <f aca="false">Masters!C3</f>
        <v>94C - Contract Receipts</v>
      </c>
      <c r="B14" s="50" t="n">
        <f aca="false">SUMIF(Reco!$A$12:$A$65,Summary!A14,Reco!$C$12:$C$65)</f>
        <v>147929</v>
      </c>
      <c r="C14" s="50" t="n">
        <f aca="false">SUMIF(Reco!$A$12:$A$65,Summary!A14,Reco!$D$12:$D$65)</f>
        <v>2960.82</v>
      </c>
      <c r="D14" s="50" t="n">
        <f aca="false">SUMIF(Reco!$A$12:$A$65,Summary!A14,Reco!$E$12:$E$65)</f>
        <v>147929</v>
      </c>
      <c r="E14" s="50" t="n">
        <f aca="false">SUMIF(Reco!$A$12:$A$65,Summary!A14,Reco!$F$12:$F$65)</f>
        <v>2960.82</v>
      </c>
      <c r="F14" s="50" t="n">
        <f aca="false">SUMIF(Reco!$A$12:$A$65,Summary!A14,Reco!$G$12:$G$65)</f>
        <v>147929</v>
      </c>
      <c r="G14" s="50" t="n">
        <f aca="false">SUMIF(Reco!$A$12:$A$65,Summary!A14,Reco!$H$12:$H$65)</f>
        <v>0</v>
      </c>
      <c r="H14" s="50" t="n">
        <f aca="false">SUMIF(Reco!$A$12:$A$65,Summary!A14,Reco!$I$12:$I$65)</f>
        <v>0</v>
      </c>
      <c r="I14" s="51" t="n">
        <f aca="false">SUMIF(Reco!$A$12:$A$65,Summary!A14,Reco!$J$12:$J$65)</f>
        <v>0</v>
      </c>
      <c r="J14" s="50" t="n">
        <f aca="false">IF(AND(B14&gt;0,D14&gt;0),(B14-D14),0)</f>
        <v>0</v>
      </c>
      <c r="K14" s="50" t="n">
        <f aca="false">IF(AND(C14&gt;0,E14&gt;0),(C14-E14),0)</f>
        <v>0</v>
      </c>
      <c r="L14" s="50" t="n">
        <f aca="false">IF(AND(B14&gt;0,F14&gt;0),(B14-F14),0)</f>
        <v>0</v>
      </c>
      <c r="M14" s="50" t="n">
        <f aca="false">IF(AND(C14&gt;0,G14&gt;0),(C14-G14),0)</f>
        <v>0</v>
      </c>
      <c r="N14" s="50" t="n">
        <f aca="false">IF(AND(F14&gt;0,D14&gt;0),(D14-F14),0)</f>
        <v>0</v>
      </c>
      <c r="O14" s="50" t="n">
        <f aca="false">IF(AND(E14&gt;0,G14&gt;0),(E14-G14),0)</f>
        <v>0</v>
      </c>
      <c r="P14" s="50" t="n">
        <f aca="false">IF(AND(F14&gt;0,H14&gt;0),(F14-H14),0)</f>
        <v>0</v>
      </c>
      <c r="Q14" s="50" t="n">
        <f aca="false">IF(AND(I14&gt;0,G14&gt;0),(G14-I14),0)</f>
        <v>0</v>
      </c>
    </row>
    <row r="15" customFormat="false" ht="15.75" hidden="false" customHeight="true" outlineLevel="0" collapsed="false">
      <c r="A15" s="49" t="str">
        <f aca="false">Masters!C4</f>
        <v>94JA - Technical Receipts</v>
      </c>
      <c r="B15" s="50" t="n">
        <f aca="false">SUMIF(Reco!$A$12:$A$65,Summary!A15,Reco!$C$12:$C$65)</f>
        <v>0</v>
      </c>
      <c r="C15" s="50" t="n">
        <f aca="false">SUMIF(Reco!$A$12:$A$65,Summary!A15,Reco!$D$12:$D$65)</f>
        <v>0</v>
      </c>
      <c r="D15" s="50" t="n">
        <f aca="false">SUMIF(Reco!$A$12:$A$65,Summary!A15,Reco!$E$12:$E$65)</f>
        <v>0</v>
      </c>
      <c r="E15" s="50" t="n">
        <f aca="false">SUMIF(Reco!$A$12:$A$65,Summary!A15,Reco!$F$12:$F$65)</f>
        <v>0</v>
      </c>
      <c r="F15" s="50" t="n">
        <f aca="false">SUMIF(Reco!$A$12:$A$65,Summary!A15,Reco!$G$12:$G$65)</f>
        <v>0</v>
      </c>
      <c r="G15" s="50" t="n">
        <f aca="false">SUMIF(Reco!$A$12:$A$65,Summary!A15,Reco!$H$12:$H$65)</f>
        <v>0</v>
      </c>
      <c r="H15" s="50" t="n">
        <f aca="false">SUMIF(Reco!$A$12:$A$65,Summary!A15,Reco!$I$12:$I$65)</f>
        <v>0</v>
      </c>
      <c r="I15" s="51" t="n">
        <f aca="false">SUMIF(Reco!$A$12:$A$65,Summary!A15,Reco!$J$12:$J$65)</f>
        <v>0</v>
      </c>
      <c r="J15" s="50" t="n">
        <f aca="false">IF(AND(B15&gt;0,D15&gt;0),(B15-D15),0)</f>
        <v>0</v>
      </c>
      <c r="K15" s="50" t="n">
        <f aca="false">IF(AND(C15&gt;0,E15&gt;0),(C15-E15),0)</f>
        <v>0</v>
      </c>
      <c r="L15" s="50" t="n">
        <f aca="false">IF(AND(B15&gt;0,F15&gt;0),(B15-F15),0)</f>
        <v>0</v>
      </c>
      <c r="M15" s="50" t="n">
        <f aca="false">IF(AND(C15&gt;0,G15&gt;0),(C15-G15),0)</f>
        <v>0</v>
      </c>
      <c r="N15" s="50" t="n">
        <f aca="false">IF(AND(F15&gt;0,D15&gt;0),(D15-F15),0)</f>
        <v>0</v>
      </c>
      <c r="O15" s="50" t="n">
        <f aca="false">IF(AND(E15&gt;0,G15&gt;0),(E15-G15),0)</f>
        <v>0</v>
      </c>
      <c r="P15" s="50" t="n">
        <f aca="false">IF(AND(F15&gt;0,H15&gt;0),(F15-H15),0)</f>
        <v>0</v>
      </c>
      <c r="Q15" s="50" t="n">
        <f aca="false">IF(AND(I15&gt;0,G15&gt;0),(G15-I15),0)</f>
        <v>0</v>
      </c>
    </row>
    <row r="16" customFormat="false" ht="15.75" hidden="false" customHeight="true" outlineLevel="0" collapsed="false">
      <c r="A16" s="49" t="str">
        <f aca="false">Masters!C5</f>
        <v>94JB - Professional Receipts</v>
      </c>
      <c r="B16" s="50" t="n">
        <f aca="false">SUMIF(Reco!$A$12:$A$65,Summary!A16,Reco!$C$12:$C$65)</f>
        <v>0</v>
      </c>
      <c r="C16" s="50" t="n">
        <f aca="false">SUMIF(Reco!$A$12:$A$65,Summary!A16,Reco!$D$12:$D$65)</f>
        <v>0</v>
      </c>
      <c r="D16" s="50" t="n">
        <f aca="false">SUMIF(Reco!$A$12:$A$65,Summary!A16,Reco!$E$12:$E$65)</f>
        <v>0</v>
      </c>
      <c r="E16" s="50" t="n">
        <f aca="false">SUMIF(Reco!$A$12:$A$65,Summary!A16,Reco!$F$12:$F$65)</f>
        <v>0</v>
      </c>
      <c r="F16" s="50" t="n">
        <f aca="false">SUMIF(Reco!$A$12:$A$65,Summary!A16,Reco!$G$12:$G$65)</f>
        <v>0</v>
      </c>
      <c r="G16" s="50" t="n">
        <f aca="false">SUMIF(Reco!$A$12:$A$65,Summary!A16,Reco!$H$12:$H$65)</f>
        <v>0</v>
      </c>
      <c r="H16" s="50" t="n">
        <f aca="false">SUMIF(Reco!$A$12:$A$65,Summary!A16,Reco!$I$12:$I$65)</f>
        <v>0</v>
      </c>
      <c r="I16" s="51" t="n">
        <f aca="false">SUMIF(Reco!$A$12:$A$65,Summary!A16,Reco!$J$12:$J$65)</f>
        <v>0</v>
      </c>
      <c r="J16" s="50" t="n">
        <f aca="false">IF(AND(B16&gt;0,D16&gt;0),(B16-D16),0)</f>
        <v>0</v>
      </c>
      <c r="K16" s="50" t="n">
        <f aca="false">IF(AND(C16&gt;0,E16&gt;0),(C16-E16),0)</f>
        <v>0</v>
      </c>
      <c r="L16" s="50" t="n">
        <f aca="false">IF(AND(B16&gt;0,F16&gt;0),(B16-F16),0)</f>
        <v>0</v>
      </c>
      <c r="M16" s="50" t="n">
        <f aca="false">IF(AND(C16&gt;0,G16&gt;0),(C16-G16),0)</f>
        <v>0</v>
      </c>
      <c r="N16" s="50" t="n">
        <f aca="false">IF(AND(F16&gt;0,D16&gt;0),(D16-F16),0)</f>
        <v>0</v>
      </c>
      <c r="O16" s="50" t="n">
        <f aca="false">IF(AND(E16&gt;0,G16&gt;0),(E16-G16),0)</f>
        <v>0</v>
      </c>
      <c r="P16" s="50" t="n">
        <f aca="false">IF(AND(F16&gt;0,H16&gt;0),(F16-H16),0)</f>
        <v>0</v>
      </c>
      <c r="Q16" s="50" t="n">
        <f aca="false">IF(AND(I16&gt;0,G16&gt;0),(G16-I16),0)</f>
        <v>0</v>
      </c>
    </row>
    <row r="17" customFormat="false" ht="15.75" hidden="false" customHeight="true" outlineLevel="0" collapsed="false">
      <c r="A17" s="49" t="str">
        <f aca="false">Masters!C6</f>
        <v>94IA - Rent Receipts (P &amp; M) </v>
      </c>
      <c r="B17" s="50" t="n">
        <f aca="false">SUMIF(Reco!$A$12:$A$65,Summary!A17,Reco!$C$12:$C$65)</f>
        <v>0</v>
      </c>
      <c r="C17" s="50" t="n">
        <f aca="false">SUMIF(Reco!$A$12:$A$65,Summary!A17,Reco!$D$12:$D$65)</f>
        <v>0</v>
      </c>
      <c r="D17" s="50" t="n">
        <f aca="false">SUMIF(Reco!$A$12:$A$65,Summary!A17,Reco!$E$12:$E$65)</f>
        <v>0</v>
      </c>
      <c r="E17" s="50" t="n">
        <f aca="false">SUMIF(Reco!$A$12:$A$65,Summary!A17,Reco!$F$12:$F$65)</f>
        <v>0</v>
      </c>
      <c r="F17" s="50" t="n">
        <f aca="false">SUMIF(Reco!$A$12:$A$65,Summary!A17,Reco!$G$12:$G$65)</f>
        <v>0</v>
      </c>
      <c r="G17" s="50" t="n">
        <f aca="false">SUMIF(Reco!$A$12:$A$65,Summary!A17,Reco!$H$12:$H$65)</f>
        <v>0</v>
      </c>
      <c r="H17" s="50" t="n">
        <f aca="false">SUMIF(Reco!$A$12:$A$65,Summary!A17,Reco!$I$12:$I$65)</f>
        <v>0</v>
      </c>
      <c r="I17" s="51" t="n">
        <f aca="false">SUMIF(Reco!$A$12:$A$65,Summary!A17,Reco!$J$12:$J$65)</f>
        <v>0</v>
      </c>
      <c r="J17" s="50" t="n">
        <f aca="false">IF(AND(B17&gt;0,D17&gt;0),(B17-D17),0)</f>
        <v>0</v>
      </c>
      <c r="K17" s="50" t="n">
        <f aca="false">IF(AND(C17&gt;0,E17&gt;0),(C17-E17),0)</f>
        <v>0</v>
      </c>
      <c r="L17" s="50" t="n">
        <f aca="false">IF(AND(B17&gt;0,F17&gt;0),(B17-F17),0)</f>
        <v>0</v>
      </c>
      <c r="M17" s="50" t="n">
        <f aca="false">IF(AND(C17&gt;0,G17&gt;0),(C17-G17),0)</f>
        <v>0</v>
      </c>
      <c r="N17" s="50" t="n">
        <f aca="false">IF(AND(F17&gt;0,D17&gt;0),(D17-F17),0)</f>
        <v>0</v>
      </c>
      <c r="O17" s="50" t="n">
        <f aca="false">IF(AND(E17&gt;0,G17&gt;0),(E17-G17),0)</f>
        <v>0</v>
      </c>
      <c r="P17" s="50" t="n">
        <f aca="false">IF(AND(F17&gt;0,H17&gt;0),(F17-H17),0)</f>
        <v>0</v>
      </c>
      <c r="Q17" s="50" t="n">
        <f aca="false">IF(AND(I17&gt;0,G17&gt;0),(G17-I17),0)</f>
        <v>0</v>
      </c>
    </row>
    <row r="18" customFormat="false" ht="15.75" hidden="false" customHeight="true" outlineLevel="0" collapsed="false">
      <c r="A18" s="49" t="str">
        <f aca="false">Masters!C7</f>
        <v>94IB - Rent Receipts (L &amp; B) </v>
      </c>
      <c r="B18" s="50" t="n">
        <f aca="false">SUMIF(Reco!$A$12:$A$65,Summary!A18,Reco!$C$12:$C$65)</f>
        <v>0</v>
      </c>
      <c r="C18" s="50" t="n">
        <f aca="false">SUMIF(Reco!$A$12:$A$65,Summary!A18,Reco!$D$12:$D$65)</f>
        <v>0</v>
      </c>
      <c r="D18" s="50" t="n">
        <f aca="false">SUMIF(Reco!$A$12:$A$65,Summary!A18,Reco!$E$12:$E$65)</f>
        <v>0</v>
      </c>
      <c r="E18" s="50" t="n">
        <f aca="false">SUMIF(Reco!$A$12:$A$65,Summary!A18,Reco!$F$12:$F$65)</f>
        <v>0</v>
      </c>
      <c r="F18" s="50" t="n">
        <f aca="false">SUMIF(Reco!$A$12:$A$65,Summary!A18,Reco!$G$12:$G$65)</f>
        <v>0</v>
      </c>
      <c r="G18" s="50" t="n">
        <f aca="false">SUMIF(Reco!$A$12:$A$65,Summary!A18,Reco!$H$12:$H$65)</f>
        <v>0</v>
      </c>
      <c r="H18" s="50" t="n">
        <f aca="false">SUMIF(Reco!$A$12:$A$65,Summary!A18,Reco!$I$12:$I$65)</f>
        <v>0</v>
      </c>
      <c r="I18" s="51" t="n">
        <f aca="false">SUMIF(Reco!$A$12:$A$65,Summary!A18,Reco!$J$12:$J$65)</f>
        <v>0</v>
      </c>
      <c r="J18" s="50" t="n">
        <f aca="false">IF(AND(B18&gt;0,D18&gt;0),(B18-D18),0)</f>
        <v>0</v>
      </c>
      <c r="K18" s="50" t="n">
        <f aca="false">IF(AND(C18&gt;0,E18&gt;0),(C18-E18),0)</f>
        <v>0</v>
      </c>
      <c r="L18" s="50" t="n">
        <f aca="false">IF(AND(B18&gt;0,F18&gt;0),(B18-F18),0)</f>
        <v>0</v>
      </c>
      <c r="M18" s="50" t="n">
        <f aca="false">IF(AND(C18&gt;0,G18&gt;0),(C18-G18),0)</f>
        <v>0</v>
      </c>
      <c r="N18" s="50" t="n">
        <f aca="false">IF(AND(F18&gt;0,D18&gt;0),(D18-F18),0)</f>
        <v>0</v>
      </c>
      <c r="O18" s="50" t="n">
        <f aca="false">IF(AND(E18&gt;0,G18&gt;0),(E18-G18),0)</f>
        <v>0</v>
      </c>
      <c r="P18" s="50" t="n">
        <f aca="false">IF(AND(F18&gt;0,H18&gt;0),(F18-H18),0)</f>
        <v>0</v>
      </c>
      <c r="Q18" s="50" t="n">
        <f aca="false">IF(AND(I18&gt;0,G18&gt;0),(G18-I18),0)</f>
        <v>0</v>
      </c>
    </row>
    <row r="19" customFormat="false" ht="15.75" hidden="false" customHeight="true" outlineLevel="0" collapsed="false">
      <c r="A19" s="49" t="str">
        <f aca="false">Masters!C8</f>
        <v>94A - Interest Receipts</v>
      </c>
      <c r="B19" s="50" t="n">
        <f aca="false">SUMIF(Reco!$A$12:$A$65,Summary!A19,Reco!$C$12:$C$65)</f>
        <v>0</v>
      </c>
      <c r="C19" s="50" t="n">
        <f aca="false">SUMIF(Reco!$A$12:$A$65,Summary!A19,Reco!$D$12:$D$65)</f>
        <v>0</v>
      </c>
      <c r="D19" s="50" t="n">
        <f aca="false">SUMIF(Reco!$A$12:$A$65,Summary!A19,Reco!$E$12:$E$65)</f>
        <v>612452</v>
      </c>
      <c r="E19" s="50" t="n">
        <f aca="false">SUMIF(Reco!$A$12:$A$65,Summary!A19,Reco!$F$12:$F$65)</f>
        <v>61245</v>
      </c>
      <c r="F19" s="50" t="n">
        <f aca="false">SUMIF(Reco!$A$12:$A$65,Summary!A19,Reco!$G$12:$G$65)</f>
        <v>0</v>
      </c>
      <c r="G19" s="50" t="n">
        <f aca="false">SUMIF(Reco!$A$12:$A$65,Summary!A19,Reco!$H$12:$H$65)</f>
        <v>0</v>
      </c>
      <c r="H19" s="50" t="n">
        <f aca="false">SUMIF(Reco!$A$12:$A$65,Summary!A19,Reco!$I$12:$I$65)</f>
        <v>0</v>
      </c>
      <c r="I19" s="51" t="n">
        <f aca="false">SUMIF(Reco!$A$12:$A$65,Summary!A19,Reco!$J$12:$J$65)</f>
        <v>0</v>
      </c>
      <c r="J19" s="50" t="n">
        <f aca="false">IF(AND(B19&gt;0,D19&gt;0),(B19-D19),0)</f>
        <v>0</v>
      </c>
      <c r="K19" s="50" t="n">
        <f aca="false">IF(AND(C19&gt;0,E19&gt;0),(C19-E19),0)</f>
        <v>0</v>
      </c>
      <c r="L19" s="50" t="n">
        <f aca="false">IF(AND(B19&gt;0,F19&gt;0),(B19-F19),0)</f>
        <v>0</v>
      </c>
      <c r="M19" s="50" t="n">
        <f aca="false">IF(AND(C19&gt;0,G19&gt;0),(C19-G19),0)</f>
        <v>0</v>
      </c>
      <c r="N19" s="50" t="n">
        <f aca="false">IF(AND(F19&gt;0,D19&gt;0),(D19-F19),0)</f>
        <v>0</v>
      </c>
      <c r="O19" s="50" t="n">
        <f aca="false">IF(AND(E19&gt;0,G19&gt;0),(E19-G19),0)</f>
        <v>0</v>
      </c>
      <c r="P19" s="50" t="n">
        <f aca="false">IF(AND(F19&gt;0,H19&gt;0),(F19-H19),0)</f>
        <v>0</v>
      </c>
      <c r="Q19" s="50" t="n">
        <f aca="false">IF(AND(I19&gt;0,G19&gt;0),(G19-I19),0)</f>
        <v>0</v>
      </c>
    </row>
    <row r="20" customFormat="false" ht="15.75" hidden="false" customHeight="true" outlineLevel="0" collapsed="false">
      <c r="A20" s="49" t="str">
        <f aca="false">Masters!C9</f>
        <v>94Q - Purchases</v>
      </c>
      <c r="B20" s="50" t="n">
        <f aca="false">SUMIF(Reco!$A$12:$A$65,Summary!A20,Reco!$C$12:$C$65)</f>
        <v>0</v>
      </c>
      <c r="C20" s="50" t="n">
        <f aca="false">SUMIF(Reco!$A$12:$A$65,Summary!A20,Reco!$D$12:$D$65)</f>
        <v>0</v>
      </c>
      <c r="D20" s="50" t="n">
        <f aca="false">SUMIF(Reco!$A$12:$A$65,Summary!A20,Reco!$E$12:$E$65)</f>
        <v>0</v>
      </c>
      <c r="E20" s="50" t="n">
        <f aca="false">SUMIF(Reco!$A$12:$A$65,Summary!A20,Reco!$F$12:$F$65)</f>
        <v>0</v>
      </c>
      <c r="F20" s="50" t="n">
        <f aca="false">SUMIF(Reco!$A$12:$A$65,Summary!A20,Reco!$G$12:$G$65)</f>
        <v>0</v>
      </c>
      <c r="G20" s="50" t="n">
        <f aca="false">SUMIF(Reco!$A$12:$A$65,Summary!A20,Reco!$H$12:$H$65)</f>
        <v>0</v>
      </c>
      <c r="H20" s="50" t="n">
        <f aca="false">SUMIF(Reco!$A$12:$A$65,Summary!A20,Reco!$I$12:$I$65)</f>
        <v>0</v>
      </c>
      <c r="I20" s="51" t="n">
        <f aca="false">SUMIF(Reco!$A$12:$A$65,Summary!A20,Reco!$J$12:$J$65)</f>
        <v>0</v>
      </c>
      <c r="J20" s="50" t="n">
        <f aca="false">IF(AND(B20&gt;0,D20&gt;0),(B20-D20),0)</f>
        <v>0</v>
      </c>
      <c r="K20" s="50" t="n">
        <f aca="false">IF(AND(C20&gt;0,E20&gt;0),(C20-E20),0)</f>
        <v>0</v>
      </c>
      <c r="L20" s="50" t="n">
        <f aca="false">IF(AND(B20&gt;0,F20&gt;0),(B20-F20),0)</f>
        <v>0</v>
      </c>
      <c r="M20" s="50" t="n">
        <f aca="false">IF(AND(C20&gt;0,G20&gt;0),(C20-G20),0)</f>
        <v>0</v>
      </c>
      <c r="N20" s="50" t="n">
        <f aca="false">IF(AND(F20&gt;0,D20&gt;0),(D20-F20),0)</f>
        <v>0</v>
      </c>
      <c r="O20" s="50" t="n">
        <f aca="false">IF(AND(E20&gt;0,G20&gt;0),(E20-G20),0)</f>
        <v>0</v>
      </c>
      <c r="P20" s="50" t="n">
        <f aca="false">IF(AND(F20&gt;0,H20&gt;0),(F20-H20),0)</f>
        <v>0</v>
      </c>
      <c r="Q20" s="50" t="n">
        <f aca="false">IF(AND(I20&gt;0,G20&gt;0),(G20-I20),0)</f>
        <v>0</v>
      </c>
    </row>
    <row r="21" customFormat="false" ht="15.75" hidden="false" customHeight="true" outlineLevel="0" collapsed="false">
      <c r="A21" s="49" t="str">
        <f aca="false">Masters!C10</f>
        <v>94H - Commission Receipts</v>
      </c>
      <c r="B21" s="50" t="n">
        <f aca="false">SUMIF(Reco!$A$12:$A$65,Summary!A21,Reco!$C$12:$C$65)</f>
        <v>21836807.61</v>
      </c>
      <c r="C21" s="50" t="n">
        <f aca="false">SUMIF(Reco!$A$12:$A$65,Summary!A21,Reco!$D$12:$D$65)</f>
        <v>436754.78</v>
      </c>
      <c r="D21" s="50" t="n">
        <f aca="false">SUMIF(Reco!$A$12:$A$65,Summary!A21,Reco!$E$12:$E$65)</f>
        <v>21836808</v>
      </c>
      <c r="E21" s="50" t="n">
        <f aca="false">SUMIF(Reco!$A$12:$A$65,Summary!A21,Reco!$F$12:$F$65)</f>
        <v>436754.78</v>
      </c>
      <c r="F21" s="50" t="n">
        <f aca="false">SUMIF(Reco!$A$12:$A$65,Summary!A21,Reco!$G$12:$G$65)</f>
        <v>21836808</v>
      </c>
      <c r="G21" s="50" t="n">
        <f aca="false">SUMIF(Reco!$A$12:$A$65,Summary!A21,Reco!$H$12:$H$65)</f>
        <v>0</v>
      </c>
      <c r="H21" s="50" t="n">
        <f aca="false">SUMIF(Reco!$A$12:$A$65,Summary!A21,Reco!$I$12:$I$65)</f>
        <v>0</v>
      </c>
      <c r="I21" s="51" t="n">
        <f aca="false">SUMIF(Reco!$A$12:$A$65,Summary!A21,Reco!$J$12:$J$65)</f>
        <v>0</v>
      </c>
      <c r="J21" s="50" t="n">
        <f aca="false">IF(AND(B21&gt;0,D21&gt;0),(B21-D21),0)</f>
        <v>-0.390000000596046</v>
      </c>
      <c r="K21" s="50" t="n">
        <f aca="false">IF(AND(C21&gt;0,E21&gt;0),(C21-E21),0)</f>
        <v>0</v>
      </c>
      <c r="L21" s="50" t="n">
        <f aca="false">IF(AND(B21&gt;0,F21&gt;0),(B21-F21),0)</f>
        <v>-0.390000000596046</v>
      </c>
      <c r="M21" s="50" t="n">
        <f aca="false">IF(AND(C21&gt;0,G21&gt;0),(C21-G21),0)</f>
        <v>0</v>
      </c>
      <c r="N21" s="50" t="n">
        <f aca="false">IF(AND(F21&gt;0,D21&gt;0),(D21-F21),0)</f>
        <v>0</v>
      </c>
      <c r="O21" s="50" t="n">
        <f aca="false">IF(AND(E21&gt;0,G21&gt;0),(E21-G21),0)</f>
        <v>0</v>
      </c>
      <c r="P21" s="50" t="n">
        <f aca="false">IF(AND(F21&gt;0,H21&gt;0),(F21-H21),0)</f>
        <v>0</v>
      </c>
      <c r="Q21" s="50" t="n">
        <f aca="false">IF(AND(I21&gt;0,G21&gt;0),(G21-I21),0)</f>
        <v>0</v>
      </c>
    </row>
    <row r="22" customFormat="false" ht="15.75" hidden="false" customHeight="true" outlineLevel="0" collapsed="false">
      <c r="A22" s="49" t="str">
        <f aca="false">Masters!C11</f>
        <v>94L - Property Transactions</v>
      </c>
      <c r="B22" s="50" t="n">
        <f aca="false">SUMIF(Reco!$A$12:$A$65,Summary!A22,Reco!$C$12:$C$65)</f>
        <v>0</v>
      </c>
      <c r="C22" s="50" t="n">
        <f aca="false">SUMIF(Reco!$A$12:$A$65,Summary!A22,Reco!$D$12:$D$65)</f>
        <v>0</v>
      </c>
      <c r="D22" s="50" t="n">
        <f aca="false">SUMIF(Reco!$A$12:$A$65,Summary!A22,Reco!$E$12:$E$65)</f>
        <v>0</v>
      </c>
      <c r="E22" s="50" t="n">
        <f aca="false">SUMIF(Reco!$A$12:$A$65,Summary!A22,Reco!$F$12:$F$65)</f>
        <v>0</v>
      </c>
      <c r="F22" s="50" t="n">
        <f aca="false">SUMIF(Reco!$A$12:$A$65,Summary!A22,Reco!$G$12:$G$65)</f>
        <v>0</v>
      </c>
      <c r="G22" s="50" t="n">
        <f aca="false">SUMIF(Reco!$A$12:$A$65,Summary!A22,Reco!$H$12:$H$65)</f>
        <v>0</v>
      </c>
      <c r="H22" s="50" t="n">
        <f aca="false">SUMIF(Reco!$A$12:$A$65,Summary!A22,Reco!$I$12:$I$65)</f>
        <v>0</v>
      </c>
      <c r="I22" s="51" t="n">
        <f aca="false">SUMIF(Reco!$A$12:$A$65,Summary!A22,Reco!$J$12:$J$65)</f>
        <v>0</v>
      </c>
      <c r="J22" s="50" t="n">
        <f aca="false">IF(AND(B22&gt;0,D22&gt;0),(B22-D22),0)</f>
        <v>0</v>
      </c>
      <c r="K22" s="50" t="n">
        <f aca="false">IF(AND(C22&gt;0,E22&gt;0),(C22-E22),0)</f>
        <v>0</v>
      </c>
      <c r="L22" s="50" t="n">
        <f aca="false">IF(AND(B22&gt;0,F22&gt;0),(B22-F22),0)</f>
        <v>0</v>
      </c>
      <c r="M22" s="50" t="n">
        <f aca="false">IF(AND(C22&gt;0,G22&gt;0),(C22-G22),0)</f>
        <v>0</v>
      </c>
      <c r="N22" s="50" t="n">
        <f aca="false">IF(AND(F22&gt;0,D22&gt;0),(D22-F22),0)</f>
        <v>0</v>
      </c>
      <c r="O22" s="50" t="n">
        <f aca="false">IF(AND(E22&gt;0,G22&gt;0),(E22-G22),0)</f>
        <v>0</v>
      </c>
      <c r="P22" s="50" t="n">
        <f aca="false">IF(AND(F22&gt;0,H22&gt;0),(F22-H22),0)</f>
        <v>0</v>
      </c>
      <c r="Q22" s="50" t="n">
        <f aca="false">IF(AND(I22&gt;0,G22&gt;0),(G22-I22),0)</f>
        <v>0</v>
      </c>
    </row>
    <row r="23" customFormat="false" ht="15.75" hidden="false" customHeight="true" outlineLevel="0" collapsed="false">
      <c r="A23" s="49" t="str">
        <f aca="false">Masters!C12</f>
        <v>Purchase of Securities</v>
      </c>
      <c r="B23" s="50" t="n">
        <f aca="false">SUMIF(Reco!$A$12:$A$65,Summary!A23,Reco!$C$12:$C$65)</f>
        <v>0</v>
      </c>
      <c r="C23" s="50" t="n">
        <f aca="false">SUMIF(Reco!$A$12:$A$65,Summary!A23,Reco!$D$12:$D$65)</f>
        <v>0</v>
      </c>
      <c r="D23" s="50" t="n">
        <f aca="false">SUMIF(Reco!$A$12:$A$65,Summary!A23,Reco!$E$12:$E$65)</f>
        <v>0</v>
      </c>
      <c r="E23" s="50" t="n">
        <f aca="false">SUMIF(Reco!$A$12:$A$65,Summary!A23,Reco!$F$12:$F$65)</f>
        <v>0</v>
      </c>
      <c r="F23" s="50" t="n">
        <f aca="false">SUMIF(Reco!$A$12:$A$65,Summary!A23,Reco!$G$12:$G$65)</f>
        <v>0</v>
      </c>
      <c r="G23" s="50" t="n">
        <f aca="false">SUMIF(Reco!$A$12:$A$65,Summary!A23,Reco!$H$12:$H$65)</f>
        <v>0</v>
      </c>
      <c r="H23" s="50" t="n">
        <f aca="false">SUMIF(Reco!$A$12:$A$65,Summary!A23,Reco!$I$12:$I$65)</f>
        <v>0</v>
      </c>
      <c r="I23" s="51" t="n">
        <f aca="false">SUMIF(Reco!$A$12:$A$65,Summary!A23,Reco!$J$12:$J$65)</f>
        <v>0</v>
      </c>
      <c r="J23" s="50" t="n">
        <f aca="false">IF(AND(B23&gt;0,D23&gt;0),(B23-D23),0)</f>
        <v>0</v>
      </c>
      <c r="K23" s="50" t="n">
        <f aca="false">IF(AND(C23&gt;0,E23&gt;0),(C23-E23),0)</f>
        <v>0</v>
      </c>
      <c r="L23" s="50" t="n">
        <f aca="false">IF(AND(B23&gt;0,F23&gt;0),(B23-F23),0)</f>
        <v>0</v>
      </c>
      <c r="M23" s="50" t="n">
        <f aca="false">IF(AND(C23&gt;0,G23&gt;0),(C23-G23),0)</f>
        <v>0</v>
      </c>
      <c r="N23" s="50" t="n">
        <f aca="false">IF(AND(F23&gt;0,D23&gt;0),(D23-F23),0)</f>
        <v>0</v>
      </c>
      <c r="O23" s="50" t="n">
        <f aca="false">IF(AND(E23&gt;0,G23&gt;0),(E23-G23),0)</f>
        <v>0</v>
      </c>
      <c r="P23" s="50" t="n">
        <f aca="false">IF(AND(F23&gt;0,H23&gt;0),(F23-H23),0)</f>
        <v>0</v>
      </c>
      <c r="Q23" s="50" t="n">
        <f aca="false">IF(AND(I23&gt;0,G23&gt;0),(G23-I23),0)</f>
        <v>0</v>
      </c>
    </row>
    <row r="24" customFormat="false" ht="15.75" hidden="false" customHeight="true" outlineLevel="0" collapsed="false">
      <c r="A24" s="49" t="str">
        <f aca="false">Masters!C13</f>
        <v>Sale of Securities</v>
      </c>
      <c r="B24" s="50" t="n">
        <f aca="false">SUMIF(Reco!$A$12:$A$65,Summary!A24,Reco!$C$12:$C$65)</f>
        <v>0</v>
      </c>
      <c r="C24" s="50" t="n">
        <f aca="false">SUMIF(Reco!$A$12:$A$65,Summary!A24,Reco!$D$12:$D$65)</f>
        <v>0</v>
      </c>
      <c r="D24" s="50" t="n">
        <f aca="false">SUMIF(Reco!$A$12:$A$65,Summary!A24,Reco!$E$12:$E$65)</f>
        <v>0</v>
      </c>
      <c r="E24" s="50" t="n">
        <f aca="false">SUMIF(Reco!$A$12:$A$65,Summary!A24,Reco!$F$12:$F$65)</f>
        <v>0</v>
      </c>
      <c r="F24" s="50" t="n">
        <f aca="false">SUMIF(Reco!$A$12:$A$65,Summary!A24,Reco!$G$12:$G$65)</f>
        <v>0</v>
      </c>
      <c r="G24" s="50" t="n">
        <f aca="false">SUMIF(Reco!$A$12:$A$65,Summary!A24,Reco!$H$12:$H$65)</f>
        <v>0</v>
      </c>
      <c r="H24" s="50" t="n">
        <f aca="false">SUMIF(Reco!$A$12:$A$65,Summary!A24,Reco!$I$12:$I$65)</f>
        <v>0</v>
      </c>
      <c r="I24" s="51" t="n">
        <f aca="false">SUMIF(Reco!$A$12:$A$65,Summary!A24,Reco!$J$12:$J$65)</f>
        <v>0</v>
      </c>
      <c r="J24" s="50" t="n">
        <f aca="false">IF(AND(B24&gt;0,D24&gt;0),(B24-D24),0)</f>
        <v>0</v>
      </c>
      <c r="K24" s="50" t="n">
        <f aca="false">IF(AND(C24&gt;0,E24&gt;0),(C24-E24),0)</f>
        <v>0</v>
      </c>
      <c r="L24" s="50" t="n">
        <f aca="false">IF(AND(B24&gt;0,F24&gt;0),(B24-F24),0)</f>
        <v>0</v>
      </c>
      <c r="M24" s="50" t="n">
        <f aca="false">IF(AND(C24&gt;0,G24&gt;0),(C24-G24),0)</f>
        <v>0</v>
      </c>
      <c r="N24" s="50" t="n">
        <f aca="false">IF(AND(F24&gt;0,D24&gt;0),(D24-F24),0)</f>
        <v>0</v>
      </c>
      <c r="O24" s="50" t="n">
        <f aca="false">IF(AND(E24&gt;0,G24&gt;0),(E24-G24),0)</f>
        <v>0</v>
      </c>
      <c r="P24" s="50" t="n">
        <f aca="false">IF(AND(F24&gt;0,H24&gt;0),(F24-H24),0)</f>
        <v>0</v>
      </c>
      <c r="Q24" s="50" t="n">
        <f aca="false">IF(AND(I24&gt;0,G24&gt;0),(G24-I24),0)</f>
        <v>0</v>
      </c>
    </row>
    <row r="25" customFormat="false" ht="15.75" hidden="false" customHeight="true" outlineLevel="0" collapsed="false">
      <c r="A25" s="49" t="str">
        <f aca="false">Masters!C14</f>
        <v>GST Sales</v>
      </c>
      <c r="B25" s="50" t="n">
        <f aca="false">SUMIF(Reco!$A$12:$A$65,Summary!A25,Reco!$C$12:$C$65)</f>
        <v>0</v>
      </c>
      <c r="C25" s="50" t="n">
        <f aca="false">SUMIF(Reco!$A$12:$A$65,Summary!A25,Reco!$D$12:$D$65)</f>
        <v>0</v>
      </c>
      <c r="D25" s="50" t="n">
        <f aca="false">SUMIF(Reco!$A$12:$A$65,Summary!A25,Reco!$E$12:$E$65)</f>
        <v>23220629</v>
      </c>
      <c r="E25" s="50" t="n">
        <f aca="false">SUMIF(Reco!$A$12:$A$65,Summary!A25,Reco!$F$12:$F$65)</f>
        <v>0</v>
      </c>
      <c r="F25" s="50" t="n">
        <f aca="false">SUMIF(Reco!$A$12:$A$65,Summary!A25,Reco!$G$12:$G$65)</f>
        <v>23220629</v>
      </c>
      <c r="G25" s="50" t="n">
        <f aca="false">SUMIF(Reco!$A$12:$A$65,Summary!A25,Reco!$H$12:$H$65)</f>
        <v>0</v>
      </c>
      <c r="H25" s="50" t="n">
        <f aca="false">SUMIF(Reco!$A$12:$A$65,Summary!A25,Reco!$I$12:$I$65)</f>
        <v>0</v>
      </c>
      <c r="I25" s="51" t="n">
        <f aca="false">SUMIF(Reco!$A$12:$A$65,Summary!A25,Reco!$J$12:$J$65)</f>
        <v>0</v>
      </c>
      <c r="J25" s="50" t="n">
        <f aca="false">IF(AND(B25&gt;0,D25&gt;0),(B25-D25),0)</f>
        <v>0</v>
      </c>
      <c r="K25" s="50" t="n">
        <f aca="false">IF(AND(C25&gt;0,E25&gt;0),(C25-E25),0)</f>
        <v>0</v>
      </c>
      <c r="L25" s="50" t="n">
        <f aca="false">IF(AND(B25&gt;0,F25&gt;0),(B25-F25),0)</f>
        <v>0</v>
      </c>
      <c r="M25" s="50" t="n">
        <f aca="false">IF(AND(C25&gt;0,G25&gt;0),(C25-G25),0)</f>
        <v>0</v>
      </c>
      <c r="N25" s="50" t="n">
        <f aca="false">IF(AND(F25&gt;0,D25&gt;0),(D25-F25),0)</f>
        <v>0</v>
      </c>
      <c r="O25" s="50" t="n">
        <f aca="false">IF(AND(E25&gt;0,G25&gt;0),(E25-G25),0)</f>
        <v>0</v>
      </c>
      <c r="P25" s="50" t="n">
        <f aca="false">IF(AND(F25&gt;0,H25&gt;0),(F25-H25),0)</f>
        <v>0</v>
      </c>
      <c r="Q25" s="50" t="n">
        <f aca="false">IF(AND(I25&gt;0,G25&gt;0),(G25-I25),0)</f>
        <v>0</v>
      </c>
    </row>
    <row r="26" customFormat="false" ht="15.75" hidden="false" customHeight="true" outlineLevel="0" collapsed="false">
      <c r="A26" s="49" t="str">
        <f aca="false">Masters!C15</f>
        <v>GST Purchases</v>
      </c>
      <c r="B26" s="50" t="n">
        <f aca="false">SUMIF(Reco!$A$12:$A$65,Summary!A26,Reco!$C$12:$C$65)</f>
        <v>0</v>
      </c>
      <c r="C26" s="50" t="n">
        <f aca="false">SUMIF(Reco!$A$12:$A$65,Summary!A26,Reco!$D$12:$D$65)</f>
        <v>0</v>
      </c>
      <c r="D26" s="50" t="n">
        <f aca="false">SUMIF(Reco!$A$12:$A$65,Summary!A26,Reco!$E$12:$E$65)</f>
        <v>3832750</v>
      </c>
      <c r="E26" s="50" t="n">
        <f aca="false">SUMIF(Reco!$A$12:$A$65,Summary!A26,Reco!$F$12:$F$65)</f>
        <v>0</v>
      </c>
      <c r="F26" s="50" t="n">
        <f aca="false">SUMIF(Reco!$A$12:$A$65,Summary!A26,Reco!$G$12:$G$65)</f>
        <v>3832750</v>
      </c>
      <c r="G26" s="50" t="n">
        <f aca="false">SUMIF(Reco!$A$12:$A$65,Summary!A26,Reco!$H$12:$H$65)</f>
        <v>0</v>
      </c>
      <c r="H26" s="50" t="n">
        <f aca="false">SUMIF(Reco!$A$12:$A$65,Summary!A26,Reco!$I$12:$I$65)</f>
        <v>0</v>
      </c>
      <c r="I26" s="51" t="n">
        <f aca="false">SUMIF(Reco!$A$12:$A$65,Summary!A26,Reco!$J$12:$J$65)</f>
        <v>0</v>
      </c>
      <c r="J26" s="50" t="n">
        <f aca="false">IF(AND(B26&gt;0,D26&gt;0),(B26-D26),0)</f>
        <v>0</v>
      </c>
      <c r="K26" s="50" t="n">
        <f aca="false">IF(AND(C26&gt;0,E26&gt;0),(C26-E26),0)</f>
        <v>0</v>
      </c>
      <c r="L26" s="50" t="n">
        <f aca="false">IF(AND(B26&gt;0,F26&gt;0),(B26-F26),0)</f>
        <v>0</v>
      </c>
      <c r="M26" s="50" t="n">
        <f aca="false">IF(AND(C26&gt;0,G26&gt;0),(C26-G26),0)</f>
        <v>0</v>
      </c>
      <c r="N26" s="50" t="n">
        <f aca="false">IF(AND(F26&gt;0,D26&gt;0),(D26-F26),0)</f>
        <v>0</v>
      </c>
      <c r="O26" s="50" t="n">
        <f aca="false">IF(AND(E26&gt;0,G26&gt;0),(E26-G26),0)</f>
        <v>0</v>
      </c>
      <c r="P26" s="50" t="n">
        <f aca="false">IF(AND(F26&gt;0,H26&gt;0),(F26-H26),0)</f>
        <v>0</v>
      </c>
      <c r="Q26" s="50" t="n">
        <f aca="false">IF(AND(I26&gt;0,G26&gt;0),(G26-I26),0)</f>
        <v>0</v>
      </c>
    </row>
    <row r="27" customFormat="false" ht="15.75" hidden="false" customHeight="true" outlineLevel="0" collapsed="false">
      <c r="A27" s="49" t="str">
        <f aca="false">Masters!C16</f>
        <v>Advance Tax</v>
      </c>
      <c r="B27" s="50" t="n">
        <f aca="false">SUMIF(Reco!$A$12:$A$65,Summary!A27,Reco!$C$12:$C$65)</f>
        <v>0</v>
      </c>
      <c r="C27" s="50" t="n">
        <f aca="false">SUMIF(Reco!$A$12:$A$65,Summary!A27,Reco!$D$12:$D$65)</f>
        <v>0</v>
      </c>
      <c r="D27" s="50" t="n">
        <f aca="false">SUMIF(Reco!$A$12:$A$65,Summary!A27,Reco!$E$12:$E$65)</f>
        <v>0</v>
      </c>
      <c r="E27" s="50" t="n">
        <f aca="false">SUMIF(Reco!$A$12:$A$65,Summary!A27,Reco!$F$12:$F$65)</f>
        <v>0</v>
      </c>
      <c r="F27" s="50" t="n">
        <f aca="false">SUMIF(Reco!$A$12:$A$65,Summary!A27,Reco!$G$12:$G$65)</f>
        <v>0</v>
      </c>
      <c r="G27" s="50" t="n">
        <f aca="false">SUMIF(Reco!$A$12:$A$65,Summary!A27,Reco!$H$12:$H$65)</f>
        <v>0</v>
      </c>
      <c r="H27" s="50" t="n">
        <f aca="false">SUMIF(Reco!$A$12:$A$65,Summary!A27,Reco!$I$12:$I$65)</f>
        <v>0</v>
      </c>
      <c r="I27" s="51" t="n">
        <f aca="false">SUMIF(Reco!$A$12:$A$65,Summary!A27,Reco!$J$12:$J$65)</f>
        <v>0</v>
      </c>
      <c r="J27" s="50" t="n">
        <f aca="false">IF(AND(B27&gt;0,D27&gt;0),(B27-D27),0)</f>
        <v>0</v>
      </c>
      <c r="K27" s="50" t="n">
        <f aca="false">IF(AND(C27&gt;0,E27&gt;0),(C27-E27),0)</f>
        <v>0</v>
      </c>
      <c r="L27" s="50" t="n">
        <f aca="false">IF(AND(B27&gt;0,F27&gt;0),(B27-F27),0)</f>
        <v>0</v>
      </c>
      <c r="M27" s="50" t="n">
        <f aca="false">IF(AND(C27&gt;0,G27&gt;0),(C27-G27),0)</f>
        <v>0</v>
      </c>
      <c r="N27" s="50" t="n">
        <f aca="false">IF(AND(F27&gt;0,D27&gt;0),(D27-F27),0)</f>
        <v>0</v>
      </c>
      <c r="O27" s="50" t="n">
        <f aca="false">IF(AND(E27&gt;0,G27&gt;0),(E27-G27),0)</f>
        <v>0</v>
      </c>
      <c r="P27" s="50" t="n">
        <f aca="false">IF(AND(F27&gt;0,H27&gt;0),(F27-H27),0)</f>
        <v>0</v>
      </c>
      <c r="Q27" s="50" t="n">
        <f aca="false">IF(AND(I27&gt;0,G27&gt;0),(G27-I27),0)</f>
        <v>0</v>
      </c>
    </row>
    <row r="28" customFormat="false" ht="15.75" hidden="false" customHeight="true" outlineLevel="0" collapsed="false">
      <c r="A28" s="49" t="str">
        <f aca="false">Masters!C17</f>
        <v>Cash Deposits</v>
      </c>
      <c r="B28" s="50" t="n">
        <f aca="false">SUMIF(Reco!$A$12:$A$65,Summary!A28,Reco!$C$12:$C$65)</f>
        <v>0</v>
      </c>
      <c r="C28" s="50" t="n">
        <f aca="false">SUMIF(Reco!$A$12:$A$65,Summary!A28,Reco!$D$12:$D$65)</f>
        <v>0</v>
      </c>
      <c r="D28" s="50" t="n">
        <f aca="false">SUMIF(Reco!$A$12:$A$65,Summary!A28,Reco!$E$12:$E$65)</f>
        <v>0</v>
      </c>
      <c r="E28" s="50" t="n">
        <f aca="false">SUMIF(Reco!$A$12:$A$65,Summary!A28,Reco!$F$12:$F$65)</f>
        <v>0</v>
      </c>
      <c r="F28" s="50" t="n">
        <f aca="false">SUMIF(Reco!$A$12:$A$65,Summary!A28,Reco!$G$12:$G$65)</f>
        <v>0</v>
      </c>
      <c r="G28" s="50" t="n">
        <f aca="false">SUMIF(Reco!$A$12:$A$65,Summary!A28,Reco!$H$12:$H$65)</f>
        <v>0</v>
      </c>
      <c r="H28" s="50" t="n">
        <f aca="false">SUMIF(Reco!$A$12:$A$65,Summary!A28,Reco!$I$12:$I$65)</f>
        <v>0</v>
      </c>
      <c r="I28" s="51" t="n">
        <f aca="false">SUMIF(Reco!$A$12:$A$65,Summary!A28,Reco!$J$12:$J$65)</f>
        <v>0</v>
      </c>
      <c r="J28" s="50" t="n">
        <f aca="false">IF(AND(B28&gt;0,D28&gt;0),(B28-D28),0)</f>
        <v>0</v>
      </c>
      <c r="K28" s="50" t="n">
        <f aca="false">IF(AND(C28&gt;0,E28&gt;0),(C28-E28),0)</f>
        <v>0</v>
      </c>
      <c r="L28" s="50" t="n">
        <f aca="false">IF(AND(B28&gt;0,F28&gt;0),(B28-F28),0)</f>
        <v>0</v>
      </c>
      <c r="M28" s="50" t="n">
        <f aca="false">IF(AND(C28&gt;0,G28&gt;0),(C28-G28),0)</f>
        <v>0</v>
      </c>
      <c r="N28" s="50" t="n">
        <f aca="false">IF(AND(F28&gt;0,D28&gt;0),(D28-F28),0)</f>
        <v>0</v>
      </c>
      <c r="O28" s="50" t="n">
        <f aca="false">IF(AND(E28&gt;0,G28&gt;0),(E28-G28),0)</f>
        <v>0</v>
      </c>
      <c r="P28" s="50" t="n">
        <f aca="false">IF(AND(F28&gt;0,H28&gt;0),(F28-H28),0)</f>
        <v>0</v>
      </c>
      <c r="Q28" s="50" t="n">
        <f aca="false">IF(AND(I28&gt;0,G28&gt;0),(G28-I28),0)</f>
        <v>0</v>
      </c>
    </row>
    <row r="29" customFormat="false" ht="15.75" hidden="false" customHeight="true" outlineLevel="0" collapsed="false">
      <c r="A29" s="49" t="str">
        <f aca="false">Masters!C18</f>
        <v>Cash Withdrawals</v>
      </c>
      <c r="B29" s="50" t="n">
        <f aca="false">SUMIF(Reco!$A$12:$A$65,Summary!A29,Reco!$C$12:$C$65)</f>
        <v>0</v>
      </c>
      <c r="C29" s="50" t="n">
        <f aca="false">SUMIF(Reco!$A$12:$A$65,Summary!A29,Reco!$D$12:$D$65)</f>
        <v>0</v>
      </c>
      <c r="D29" s="50" t="n">
        <f aca="false">SUMIF(Reco!$A$12:$A$65,Summary!A29,Reco!$E$12:$E$65)</f>
        <v>0</v>
      </c>
      <c r="E29" s="50" t="n">
        <f aca="false">SUMIF(Reco!$A$12:$A$65,Summary!A29,Reco!$F$12:$F$65)</f>
        <v>0</v>
      </c>
      <c r="F29" s="50" t="n">
        <f aca="false">SUMIF(Reco!$A$12:$A$65,Summary!A29,Reco!$G$12:$G$65)</f>
        <v>0</v>
      </c>
      <c r="G29" s="50" t="n">
        <f aca="false">SUMIF(Reco!$A$12:$A$65,Summary!A29,Reco!$H$12:$H$65)</f>
        <v>0</v>
      </c>
      <c r="H29" s="50" t="n">
        <f aca="false">SUMIF(Reco!$A$12:$A$65,Summary!A29,Reco!$I$12:$I$65)</f>
        <v>0</v>
      </c>
      <c r="I29" s="51" t="n">
        <f aca="false">SUMIF(Reco!$A$12:$A$65,Summary!A29,Reco!$J$12:$J$65)</f>
        <v>0</v>
      </c>
      <c r="J29" s="50" t="n">
        <f aca="false">IF(AND(B29&gt;0,D29&gt;0),(B29-D29),0)</f>
        <v>0</v>
      </c>
      <c r="K29" s="50" t="n">
        <f aca="false">IF(AND(C29&gt;0,E29&gt;0),(C29-E29),0)</f>
        <v>0</v>
      </c>
      <c r="L29" s="50" t="n">
        <f aca="false">IF(AND(B29&gt;0,F29&gt;0),(B29-F29),0)</f>
        <v>0</v>
      </c>
      <c r="M29" s="50" t="n">
        <f aca="false">IF(AND(C29&gt;0,G29&gt;0),(C29-G29),0)</f>
        <v>0</v>
      </c>
      <c r="N29" s="50" t="n">
        <f aca="false">IF(AND(F29&gt;0,D29&gt;0),(D29-F29),0)</f>
        <v>0</v>
      </c>
      <c r="O29" s="50" t="n">
        <f aca="false">IF(AND(E29&gt;0,G29&gt;0),(E29-G29),0)</f>
        <v>0</v>
      </c>
      <c r="P29" s="50" t="n">
        <f aca="false">IF(AND(F29&gt;0,H29&gt;0),(F29-H29),0)</f>
        <v>0</v>
      </c>
      <c r="Q29" s="50" t="n">
        <f aca="false">IF(AND(I29&gt;0,G29&gt;0),(G29-I29),0)</f>
        <v>0</v>
      </c>
    </row>
    <row r="30" customFormat="false" ht="15.75" hidden="false" customHeight="true" outlineLevel="0" collapsed="false">
      <c r="A30" s="49" t="str">
        <f aca="false">Masters!C19</f>
        <v>SAT</v>
      </c>
      <c r="B30" s="50" t="n">
        <f aca="false">SUMIF(Reco!$A$12:$A$65,Summary!A30,Reco!$C$12:$C$65)</f>
        <v>0</v>
      </c>
      <c r="C30" s="50" t="n">
        <f aca="false">SUMIF(Reco!$A$12:$A$65,Summary!A30,Reco!$D$12:$D$65)</f>
        <v>0</v>
      </c>
      <c r="D30" s="50" t="n">
        <f aca="false">SUMIF(Reco!$A$12:$A$65,Summary!A30,Reco!$E$12:$E$65)</f>
        <v>0</v>
      </c>
      <c r="E30" s="50" t="n">
        <f aca="false">SUMIF(Reco!$A$12:$A$65,Summary!A30,Reco!$F$12:$F$65)</f>
        <v>0</v>
      </c>
      <c r="F30" s="50" t="n">
        <f aca="false">SUMIF(Reco!$A$12:$A$65,Summary!A30,Reco!$G$12:$G$65)</f>
        <v>0</v>
      </c>
      <c r="G30" s="50" t="n">
        <f aca="false">SUMIF(Reco!$A$12:$A$65,Summary!A30,Reco!$H$12:$H$65)</f>
        <v>0</v>
      </c>
      <c r="H30" s="50" t="n">
        <f aca="false">SUMIF(Reco!$A$12:$A$65,Summary!A30,Reco!$I$12:$I$65)</f>
        <v>0</v>
      </c>
      <c r="I30" s="51" t="n">
        <f aca="false">SUMIF(Reco!$A$12:$A$65,Summary!A30,Reco!$J$12:$J$65)</f>
        <v>0</v>
      </c>
      <c r="J30" s="50" t="n">
        <f aca="false">IF(AND(B30&gt;0,D30&gt;0),(B30-D30),0)</f>
        <v>0</v>
      </c>
      <c r="K30" s="50" t="n">
        <f aca="false">IF(AND(C30&gt;0,E30&gt;0),(C30-E30),0)</f>
        <v>0</v>
      </c>
      <c r="L30" s="50" t="n">
        <f aca="false">IF(AND(B30&gt;0,F30&gt;0),(B30-F30),0)</f>
        <v>0</v>
      </c>
      <c r="M30" s="50" t="n">
        <f aca="false">IF(AND(C30&gt;0,G30&gt;0),(C30-G30),0)</f>
        <v>0</v>
      </c>
      <c r="N30" s="50" t="n">
        <f aca="false">IF(AND(F30&gt;0,D30&gt;0),(D30-F30),0)</f>
        <v>0</v>
      </c>
      <c r="O30" s="50" t="n">
        <f aca="false">IF(AND(E30&gt;0,G30&gt;0),(E30-G30),0)</f>
        <v>0</v>
      </c>
      <c r="P30" s="50" t="n">
        <f aca="false">IF(AND(F30&gt;0,H30&gt;0),(F30-H30),0)</f>
        <v>0</v>
      </c>
      <c r="Q30" s="50" t="n">
        <f aca="false">IF(AND(I30&gt;0,G30&gt;0),(G30-I30),0)</f>
        <v>0</v>
      </c>
    </row>
    <row r="31" customFormat="false" ht="15.75" hidden="false" customHeight="true" outlineLevel="0" collapsed="false">
      <c r="A31" s="49" t="str">
        <f aca="false">Masters!C20</f>
        <v>206CJ - TCS Purchases</v>
      </c>
      <c r="B31" s="50" t="n">
        <f aca="false">SUMIF(Reco!$A$12:$A$65,Summary!A31,Reco!$C$12:$C$65)</f>
        <v>0</v>
      </c>
      <c r="C31" s="50" t="n">
        <f aca="false">SUMIF(Reco!$A$12:$A$65,Summary!A31,Reco!$D$12:$D$65)</f>
        <v>0</v>
      </c>
      <c r="D31" s="50" t="n">
        <f aca="false">SUMIF(Reco!$A$12:$A$65,Summary!A31,Reco!$E$12:$E$65)</f>
        <v>0</v>
      </c>
      <c r="E31" s="50" t="n">
        <f aca="false">SUMIF(Reco!$A$12:$A$65,Summary!A31,Reco!$F$12:$F$65)</f>
        <v>0</v>
      </c>
      <c r="F31" s="50" t="n">
        <f aca="false">SUMIF(Reco!$A$12:$A$65,Summary!A31,Reco!$G$12:$G$65)</f>
        <v>0</v>
      </c>
      <c r="G31" s="50" t="n">
        <f aca="false">SUMIF(Reco!$A$12:$A$65,Summary!A31,Reco!$H$12:$H$65)</f>
        <v>0</v>
      </c>
      <c r="H31" s="50" t="n">
        <f aca="false">SUMIF(Reco!$A$12:$A$65,Summary!A31,Reco!$I$12:$I$65)</f>
        <v>0</v>
      </c>
      <c r="I31" s="51" t="n">
        <f aca="false">SUMIF(Reco!$A$12:$A$65,Summary!A31,Reco!$J$12:$J$65)</f>
        <v>0</v>
      </c>
      <c r="J31" s="50" t="n">
        <f aca="false">IF(AND(B31&gt;0,D31&gt;0),(B31-D31),0)</f>
        <v>0</v>
      </c>
      <c r="K31" s="50" t="n">
        <f aca="false">IF(AND(C31&gt;0,E31&gt;0),(C31-E31),0)</f>
        <v>0</v>
      </c>
      <c r="L31" s="50" t="n">
        <f aca="false">IF(AND(B31&gt;0,F31&gt;0),(B31-F31),0)</f>
        <v>0</v>
      </c>
      <c r="M31" s="50" t="n">
        <f aca="false">IF(AND(C31&gt;0,G31&gt;0),(C31-G31),0)</f>
        <v>0</v>
      </c>
      <c r="N31" s="50" t="n">
        <f aca="false">IF(AND(F31&gt;0,D31&gt;0),(D31-F31),0)</f>
        <v>0</v>
      </c>
      <c r="O31" s="50" t="n">
        <f aca="false">IF(AND(E31&gt;0,G31&gt;0),(E31-G31),0)</f>
        <v>0</v>
      </c>
      <c r="P31" s="50" t="n">
        <f aca="false">IF(AND(F31&gt;0,H31&gt;0),(F31-H31),0)</f>
        <v>0</v>
      </c>
      <c r="Q31" s="50" t="n">
        <f aca="false">IF(AND(I31&gt;0,G31&gt;0),(G31-I31),0)</f>
        <v>0</v>
      </c>
    </row>
    <row r="32" customFormat="false" ht="15.75" hidden="false" customHeight="true" outlineLevel="0" collapsed="false">
      <c r="A32" s="49" t="str">
        <f aca="false">Masters!C21</f>
        <v>206CE - TCS Purchases</v>
      </c>
      <c r="B32" s="50" t="n">
        <f aca="false">SUMIF(Reco!$A$12:$A$65,Summary!A32,Reco!$C$12:$C$65)</f>
        <v>0</v>
      </c>
      <c r="C32" s="50" t="n">
        <f aca="false">SUMIF(Reco!$A$12:$A$65,Summary!A32,Reco!$D$12:$D$65)</f>
        <v>0</v>
      </c>
      <c r="D32" s="50" t="n">
        <f aca="false">SUMIF(Reco!$A$12:$A$65,Summary!A32,Reco!$E$12:$E$65)</f>
        <v>0</v>
      </c>
      <c r="E32" s="50" t="n">
        <f aca="false">SUMIF(Reco!$A$12:$A$65,Summary!A32,Reco!$F$12:$F$65)</f>
        <v>0</v>
      </c>
      <c r="F32" s="50" t="n">
        <f aca="false">SUMIF(Reco!$A$12:$A$65,Summary!A32,Reco!$G$12:$G$65)</f>
        <v>0</v>
      </c>
      <c r="G32" s="50" t="n">
        <f aca="false">SUMIF(Reco!$A$12:$A$65,Summary!A32,Reco!$H$12:$H$65)</f>
        <v>0</v>
      </c>
      <c r="H32" s="50" t="n">
        <f aca="false">SUMIF(Reco!$A$12:$A$65,Summary!A32,Reco!$I$12:$I$65)</f>
        <v>0</v>
      </c>
      <c r="I32" s="51" t="n">
        <f aca="false">SUMIF(Reco!$A$12:$A$65,Summary!A32,Reco!$J$12:$J$65)</f>
        <v>0</v>
      </c>
      <c r="J32" s="50" t="n">
        <f aca="false">IF(AND(B32&gt;0,D32&gt;0),(B32-D32),0)</f>
        <v>0</v>
      </c>
      <c r="K32" s="50" t="n">
        <f aca="false">IF(AND(C32&gt;0,E32&gt;0),(C32-E32),0)</f>
        <v>0</v>
      </c>
      <c r="L32" s="50" t="n">
        <f aca="false">IF(AND(B32&gt;0,F32&gt;0),(B32-F32),0)</f>
        <v>0</v>
      </c>
      <c r="M32" s="50" t="n">
        <f aca="false">IF(AND(C32&gt;0,G32&gt;0),(C32-G32),0)</f>
        <v>0</v>
      </c>
      <c r="N32" s="50" t="n">
        <f aca="false">IF(AND(F32&gt;0,D32&gt;0),(D32-F32),0)</f>
        <v>0</v>
      </c>
      <c r="O32" s="50" t="n">
        <f aca="false">IF(AND(E32&gt;0,G32&gt;0),(E32-G32),0)</f>
        <v>0</v>
      </c>
      <c r="P32" s="50" t="n">
        <f aca="false">IF(AND(F32&gt;0,H32&gt;0),(F32-H32),0)</f>
        <v>0</v>
      </c>
      <c r="Q32" s="50" t="n">
        <f aca="false">IF(AND(I32&gt;0,G32&gt;0),(G32-I32),0)</f>
        <v>0</v>
      </c>
    </row>
    <row r="33" customFormat="false" ht="15.75" hidden="false" customHeight="true" outlineLevel="0" collapsed="false">
      <c r="A33" s="49" t="str">
        <f aca="false">Masters!C22</f>
        <v>206CL - TCS Purchases</v>
      </c>
      <c r="B33" s="50" t="n">
        <f aca="false">SUMIF(Reco!$A$12:$A$65,Summary!A33,Reco!$C$12:$C$65)</f>
        <v>1629800</v>
      </c>
      <c r="C33" s="50" t="n">
        <f aca="false">SUMIF(Reco!$A$12:$A$65,Summary!A33,Reco!$D$12:$D$65)</f>
        <v>16298</v>
      </c>
      <c r="D33" s="50" t="n">
        <f aca="false">SUMIF(Reco!$A$12:$A$65,Summary!A33,Reco!$E$12:$E$65)</f>
        <v>1629800</v>
      </c>
      <c r="E33" s="50" t="n">
        <f aca="false">SUMIF(Reco!$A$12:$A$65,Summary!A33,Reco!$F$12:$F$65)</f>
        <v>16298</v>
      </c>
      <c r="F33" s="50" t="n">
        <f aca="false">SUMIF(Reco!$A$12:$A$65,Summary!A33,Reco!$G$12:$G$65)</f>
        <v>1629800</v>
      </c>
      <c r="G33" s="50" t="n">
        <f aca="false">SUMIF(Reco!$A$12:$A$65,Summary!A33,Reco!$H$12:$H$65)</f>
        <v>0</v>
      </c>
      <c r="H33" s="50" t="n">
        <f aca="false">SUMIF(Reco!$A$12:$A$65,Summary!A33,Reco!$I$12:$I$65)</f>
        <v>0</v>
      </c>
      <c r="I33" s="51" t="n">
        <f aca="false">SUMIF(Reco!$A$12:$A$65,Summary!A33,Reco!$J$12:$J$65)</f>
        <v>0</v>
      </c>
      <c r="J33" s="50" t="n">
        <f aca="false">IF(AND(B33&gt;0,D33&gt;0),(B33-D33),0)</f>
        <v>0</v>
      </c>
      <c r="K33" s="50" t="n">
        <f aca="false">IF(AND(C33&gt;0,E33&gt;0),(C33-E33),0)</f>
        <v>0</v>
      </c>
      <c r="L33" s="50" t="n">
        <f aca="false">IF(AND(B33&gt;0,F33&gt;0),(B33-F33),0)</f>
        <v>0</v>
      </c>
      <c r="M33" s="50" t="n">
        <f aca="false">IF(AND(C33&gt;0,G33&gt;0),(C33-G33),0)</f>
        <v>0</v>
      </c>
      <c r="N33" s="50" t="n">
        <f aca="false">IF(AND(F33&gt;0,D33&gt;0),(D33-F33),0)</f>
        <v>0</v>
      </c>
      <c r="O33" s="50" t="n">
        <f aca="false">IF(AND(E33&gt;0,G33&gt;0),(E33-G33),0)</f>
        <v>0</v>
      </c>
      <c r="P33" s="50" t="n">
        <f aca="false">IF(AND(F33&gt;0,H33&gt;0),(F33-H33),0)</f>
        <v>0</v>
      </c>
      <c r="Q33" s="50" t="n">
        <f aca="false">IF(AND(I33&gt;0,G33&gt;0),(G33-I33),0)</f>
        <v>0</v>
      </c>
    </row>
    <row r="34" customFormat="false" ht="15.75" hidden="false" customHeight="true" outlineLevel="0" collapsed="false">
      <c r="A34" s="49" t="str">
        <f aca="false">Masters!C23</f>
        <v>206CR-TCS Purchases</v>
      </c>
      <c r="B34" s="50" t="n">
        <f aca="false">SUMIF(Reco!$A$12:$A$96,Summary!A34,Reco!$C$12:$C$96)</f>
        <v>0</v>
      </c>
      <c r="C34" s="50" t="n">
        <f aca="false">SUMIF(Reco!$A$12:$A$96,Summary!A34,Reco!$D$12:$D$96)</f>
        <v>0</v>
      </c>
      <c r="D34" s="50" t="n">
        <f aca="false">SUMIF(Reco!$A$12:$A$96,Summary!A34,Reco!$E$12:$E$96)</f>
        <v>0</v>
      </c>
      <c r="E34" s="50" t="n">
        <f aca="false">SUMIF(Reco!$A$12:$A$96,Summary!A34,Reco!$F$12:$F$96)</f>
        <v>0</v>
      </c>
      <c r="F34" s="50" t="n">
        <f aca="false">SUMIF(Reco!$A$12:$A$96,Summary!A34,Reco!$G$12:$G$94)</f>
        <v>0</v>
      </c>
      <c r="G34" s="50" t="n">
        <f aca="false">SUMIF(Reco!$A$12:$A$96,Summary!A34,Reco!$H$12:$H$96)</f>
        <v>0</v>
      </c>
      <c r="H34" s="50" t="n">
        <f aca="false">SUMIF(Reco!$A$12:$A$96,Summary!A34,Reco!$I$12:$I$96)</f>
        <v>0</v>
      </c>
      <c r="I34" s="51" t="n">
        <f aca="false">SUMIF(Reco!$A$12:$A$96,Summary!A34,Reco!$J$12:$J$96)</f>
        <v>0</v>
      </c>
      <c r="J34" s="50" t="n">
        <f aca="false">IF(AND(B34&gt;0,D34&gt;0),(B34-D34),0)</f>
        <v>0</v>
      </c>
      <c r="K34" s="50" t="n">
        <f aca="false">IF(AND(C34&gt;0,E34&gt;0),(C34-E34),0)</f>
        <v>0</v>
      </c>
      <c r="L34" s="50" t="n">
        <f aca="false">IF(AND(B34&gt;0,F34&gt;0),(B34-F34),0)</f>
        <v>0</v>
      </c>
      <c r="M34" s="50" t="n">
        <f aca="false">IF(AND(C34&gt;0,G34&gt;0),(C34-G34),0)</f>
        <v>0</v>
      </c>
      <c r="N34" s="50" t="n">
        <f aca="false">IF(AND(F34&gt;0,D34&gt;0),(D34-F34),0)</f>
        <v>0</v>
      </c>
      <c r="O34" s="50" t="n">
        <f aca="false">IF(AND(E34&gt;0,G34&gt;0),(E34-G34),0)</f>
        <v>0</v>
      </c>
      <c r="P34" s="50" t="n">
        <f aca="false">IF(AND(F34&gt;0,H34&gt;0),(F34-H34),0)</f>
        <v>0</v>
      </c>
      <c r="Q34" s="50" t="n">
        <f aca="false">IF(AND(I34&gt;0,G34&gt;0),(G34-I34),0)</f>
        <v>0</v>
      </c>
    </row>
    <row r="35" customFormat="false" ht="15.75" hidden="false" customHeight="true" outlineLevel="0" collapsed="false">
      <c r="A35" s="49" t="str">
        <f aca="false">Masters!C24</f>
        <v>94N - Cash Withdrawals</v>
      </c>
      <c r="B35" s="50" t="n">
        <f aca="false">SUMIF(Reco!$A$12:$A$96,Summary!A35,Reco!$C$12:$C$96)</f>
        <v>0</v>
      </c>
      <c r="C35" s="50" t="n">
        <f aca="false">SUMIF(Reco!$A$12:$A$96,Summary!A35,Reco!$D$12:$D$96)</f>
        <v>0</v>
      </c>
      <c r="D35" s="50" t="n">
        <f aca="false">SUMIF(Reco!$A$12:$A$96,Summary!A35,Reco!$E$12:$E$96)</f>
        <v>0</v>
      </c>
      <c r="E35" s="50" t="n">
        <f aca="false">SUMIF(Reco!$A$12:$A$96,Summary!A35,Reco!$F$12:$F$96)</f>
        <v>0</v>
      </c>
      <c r="F35" s="50" t="n">
        <f aca="false">SUMIF(Reco!$A$12:$A$96,Summary!A35,Reco!$G$12:$G$94)</f>
        <v>0</v>
      </c>
      <c r="G35" s="50" t="n">
        <f aca="false">SUMIF(Reco!$A$12:$A$96,Summary!A35,Reco!$H$12:$H$96)</f>
        <v>0</v>
      </c>
      <c r="H35" s="50" t="n">
        <f aca="false">SUMIF(Reco!$A$12:$A$96,Summary!A35,Reco!$I$12:$I$96)</f>
        <v>0</v>
      </c>
      <c r="I35" s="51" t="n">
        <f aca="false">SUMIF(Reco!$A$12:$A$96,Summary!A35,Reco!$J$12:$J$96)</f>
        <v>0</v>
      </c>
      <c r="J35" s="50" t="n">
        <f aca="false">IF(AND(B35&gt;0,D35&gt;0),(B35-D35),0)</f>
        <v>0</v>
      </c>
      <c r="K35" s="50" t="n">
        <f aca="false">IF(AND(C35&gt;0,E35&gt;0),(C35-E35),0)</f>
        <v>0</v>
      </c>
      <c r="L35" s="50" t="n">
        <f aca="false">IF(AND(B35&gt;0,F35&gt;0),(B35-F35),0)</f>
        <v>0</v>
      </c>
      <c r="M35" s="50" t="n">
        <f aca="false">IF(AND(C35&gt;0,G35&gt;0),(C35-G35),0)</f>
        <v>0</v>
      </c>
      <c r="N35" s="50" t="n">
        <f aca="false">IF(AND(F35&gt;0,D35&gt;0),(D35-F35),0)</f>
        <v>0</v>
      </c>
      <c r="O35" s="50" t="n">
        <f aca="false">IF(AND(E35&gt;0,G35&gt;0),(E35-G35),0)</f>
        <v>0</v>
      </c>
      <c r="P35" s="50" t="n">
        <f aca="false">IF(AND(F35&gt;0,H35&gt;0),(F35-H35),0)</f>
        <v>0</v>
      </c>
      <c r="Q35" s="50" t="n">
        <f aca="false">IF(AND(I35&gt;0,G35&gt;0),(G35-I35),0)</f>
        <v>0</v>
      </c>
    </row>
    <row r="36" customFormat="false" ht="15.75" hidden="false" customHeight="true" outlineLevel="0" collapsed="false">
      <c r="A36" s="52" t="s">
        <v>92</v>
      </c>
      <c r="B36" s="53" t="n">
        <f aca="false">SUM(B13:B35)</f>
        <v>23614536.61</v>
      </c>
      <c r="C36" s="53" t="n">
        <f aca="false">SUM(C13:C35)</f>
        <v>456013.6</v>
      </c>
      <c r="D36" s="53" t="n">
        <f aca="false">SUM(D13:D35)</f>
        <v>51280368</v>
      </c>
      <c r="E36" s="53" t="n">
        <f aca="false">SUM(E13:E35)</f>
        <v>517258.6</v>
      </c>
      <c r="F36" s="53" t="n">
        <f aca="false">SUM(F13:F35)</f>
        <v>50667916</v>
      </c>
      <c r="G36" s="53" t="n">
        <f aca="false">SUM(G13:G35)</f>
        <v>0</v>
      </c>
      <c r="H36" s="53" t="n">
        <f aca="false">SUM(H13:H35)</f>
        <v>0</v>
      </c>
      <c r="I36" s="54" t="n">
        <f aca="false">SUM(I13:I35)</f>
        <v>0</v>
      </c>
      <c r="J36" s="54" t="n">
        <f aca="false">SUM(J13:J35)</f>
        <v>-0.390000000596046</v>
      </c>
      <c r="K36" s="54" t="n">
        <f aca="false">SUM(K13:K35)</f>
        <v>0</v>
      </c>
      <c r="L36" s="54" t="n">
        <f aca="false">SUM(L13:L35)</f>
        <v>-0.390000000596046</v>
      </c>
      <c r="M36" s="54" t="n">
        <f aca="false">SUM(M13:M35)</f>
        <v>0</v>
      </c>
      <c r="N36" s="54" t="n">
        <f aca="false">SUM(N13:N35)</f>
        <v>0</v>
      </c>
      <c r="O36" s="54" t="n">
        <f aca="false">SUM(O13:O35)</f>
        <v>0</v>
      </c>
      <c r="P36" s="54" t="n">
        <f aca="false">SUM(P13:P35)</f>
        <v>0</v>
      </c>
      <c r="Q36" s="54" t="n">
        <f aca="false">SUM(Q13:Q35)</f>
        <v>0</v>
      </c>
    </row>
    <row r="37" customFormat="false" ht="15" hidden="false" customHeight="true" outlineLevel="0" collapsed="false">
      <c r="B37" s="55" t="n">
        <f aca="false">B36-Reco!C9</f>
        <v>0</v>
      </c>
      <c r="C37" s="55" t="n">
        <f aca="false">C36-Reco!D9</f>
        <v>0</v>
      </c>
      <c r="D37" s="55" t="n">
        <f aca="false">D36-Reco!E9</f>
        <v>0</v>
      </c>
      <c r="E37" s="55" t="n">
        <f aca="false">E36-Reco!F9</f>
        <v>0</v>
      </c>
      <c r="F37" s="55" t="n">
        <f aca="false">F36-Reco!G9</f>
        <v>0</v>
      </c>
      <c r="G37" s="55" t="n">
        <f aca="false">G36-Reco!H9</f>
        <v>0</v>
      </c>
      <c r="H37" s="55" t="n">
        <f aca="false">H36-Reco!I9</f>
        <v>0</v>
      </c>
      <c r="I37" s="55" t="n">
        <f aca="false">I36-Reco!J9</f>
        <v>0</v>
      </c>
    </row>
  </sheetData>
  <mergeCells count="14">
    <mergeCell ref="B5:D5"/>
    <mergeCell ref="B6:D6"/>
    <mergeCell ref="B7:D7"/>
    <mergeCell ref="B8:D8"/>
    <mergeCell ref="A11:A12"/>
    <mergeCell ref="B11:C11"/>
    <mergeCell ref="D11:E11"/>
    <mergeCell ref="F11:G11"/>
    <mergeCell ref="H11:I11"/>
    <mergeCell ref="J11:Q11"/>
    <mergeCell ref="J12:K12"/>
    <mergeCell ref="L12:M12"/>
    <mergeCell ref="N12:O12"/>
    <mergeCell ref="P12:Q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24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C23" activeCellId="0" sqref="C23"/>
    </sheetView>
  </sheetViews>
  <sheetFormatPr defaultColWidth="8.6796875" defaultRowHeight="15" zeroHeight="false" outlineLevelRow="0" outlineLevelCol="0"/>
  <cols>
    <col collapsed="false" customWidth="true" hidden="false" outlineLevel="0" max="3" min="3" style="46" width="18.57"/>
  </cols>
  <sheetData>
    <row r="2" customFormat="false" ht="15" hidden="false" customHeight="true" outlineLevel="0" collapsed="false">
      <c r="A2" s="46" t="s">
        <v>93</v>
      </c>
      <c r="C2" s="46" t="s">
        <v>94</v>
      </c>
      <c r="E2" s="46" t="s">
        <v>9</v>
      </c>
      <c r="G2" s="46" t="s">
        <v>95</v>
      </c>
    </row>
    <row r="3" customFormat="false" ht="15" hidden="false" customHeight="true" outlineLevel="0" collapsed="false">
      <c r="A3" s="46" t="s">
        <v>96</v>
      </c>
      <c r="C3" s="46" t="s">
        <v>30</v>
      </c>
      <c r="E3" s="46" t="s">
        <v>97</v>
      </c>
      <c r="G3" s="46" t="s">
        <v>98</v>
      </c>
    </row>
    <row r="4" customFormat="false" ht="15" hidden="false" customHeight="true" outlineLevel="0" collapsed="false">
      <c r="A4" s="46" t="s">
        <v>99</v>
      </c>
      <c r="C4" s="46" t="s">
        <v>100</v>
      </c>
      <c r="E4" s="46" t="s">
        <v>101</v>
      </c>
      <c r="G4" s="46" t="s">
        <v>28</v>
      </c>
    </row>
    <row r="5" customFormat="false" ht="15" hidden="false" customHeight="true" outlineLevel="0" collapsed="false">
      <c r="A5" s="46" t="s">
        <v>102</v>
      </c>
      <c r="C5" s="46" t="s">
        <v>103</v>
      </c>
      <c r="E5" s="46" t="s">
        <v>104</v>
      </c>
      <c r="G5" s="46" t="s">
        <v>105</v>
      </c>
    </row>
    <row r="6" customFormat="false" ht="15" hidden="false" customHeight="true" outlineLevel="0" collapsed="false">
      <c r="A6" s="46" t="s">
        <v>7</v>
      </c>
      <c r="C6" s="46" t="s">
        <v>106</v>
      </c>
      <c r="E6" s="46" t="s">
        <v>107</v>
      </c>
    </row>
    <row r="7" customFormat="false" ht="15" hidden="false" customHeight="true" outlineLevel="0" collapsed="false">
      <c r="A7" s="46" t="s">
        <v>5</v>
      </c>
      <c r="C7" s="46" t="s">
        <v>108</v>
      </c>
      <c r="E7" s="46" t="s">
        <v>109</v>
      </c>
    </row>
    <row r="8" customFormat="false" ht="15" hidden="false" customHeight="true" outlineLevel="0" collapsed="false">
      <c r="C8" s="46" t="s">
        <v>26</v>
      </c>
      <c r="E8" s="46" t="s">
        <v>110</v>
      </c>
    </row>
    <row r="9" customFormat="false" ht="15" hidden="false" customHeight="true" outlineLevel="0" collapsed="false">
      <c r="C9" s="46" t="s">
        <v>111</v>
      </c>
    </row>
    <row r="10" customFormat="false" ht="15" hidden="false" customHeight="true" outlineLevel="0" collapsed="false">
      <c r="C10" s="46" t="s">
        <v>34</v>
      </c>
    </row>
    <row r="11" customFormat="false" ht="15" hidden="false" customHeight="true" outlineLevel="0" collapsed="false">
      <c r="C11" s="46" t="s">
        <v>112</v>
      </c>
    </row>
    <row r="12" customFormat="false" ht="15" hidden="false" customHeight="true" outlineLevel="0" collapsed="false">
      <c r="C12" s="46" t="s">
        <v>113</v>
      </c>
    </row>
    <row r="13" customFormat="false" ht="15" hidden="false" customHeight="true" outlineLevel="0" collapsed="false">
      <c r="C13" s="46" t="s">
        <v>114</v>
      </c>
    </row>
    <row r="14" customFormat="false" ht="15" hidden="false" customHeight="true" outlineLevel="0" collapsed="false">
      <c r="C14" s="46" t="s">
        <v>84</v>
      </c>
    </row>
    <row r="15" customFormat="false" ht="15" hidden="false" customHeight="true" outlineLevel="0" collapsed="false">
      <c r="C15" s="46" t="s">
        <v>87</v>
      </c>
    </row>
    <row r="16" customFormat="false" ht="15" hidden="false" customHeight="true" outlineLevel="0" collapsed="false">
      <c r="C16" s="46" t="s">
        <v>115</v>
      </c>
    </row>
    <row r="17" customFormat="false" ht="15" hidden="false" customHeight="true" outlineLevel="0" collapsed="false">
      <c r="C17" s="46" t="s">
        <v>116</v>
      </c>
    </row>
    <row r="18" customFormat="false" ht="15" hidden="false" customHeight="true" outlineLevel="0" collapsed="false">
      <c r="C18" s="46" t="s">
        <v>117</v>
      </c>
    </row>
    <row r="19" customFormat="false" ht="15" hidden="false" customHeight="true" outlineLevel="0" collapsed="false">
      <c r="C19" s="46" t="s">
        <v>118</v>
      </c>
    </row>
    <row r="20" customFormat="false" ht="15" hidden="false" customHeight="true" outlineLevel="0" collapsed="false">
      <c r="C20" s="46" t="s">
        <v>119</v>
      </c>
    </row>
    <row r="21" customFormat="false" ht="15" hidden="false" customHeight="true" outlineLevel="0" collapsed="false">
      <c r="C21" s="46" t="s">
        <v>120</v>
      </c>
    </row>
    <row r="22" customFormat="false" ht="15" hidden="false" customHeight="true" outlineLevel="0" collapsed="false">
      <c r="C22" s="46" t="s">
        <v>82</v>
      </c>
    </row>
    <row r="23" customFormat="false" ht="15" hidden="false" customHeight="true" outlineLevel="0" collapsed="false">
      <c r="C23" s="46" t="s">
        <v>121</v>
      </c>
    </row>
    <row r="24" customFormat="false" ht="15" hidden="false" customHeight="true" outlineLevel="0" collapsed="false">
      <c r="C24" s="46" t="s">
        <v>122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2023-08-28T14:23:07Z</dcterms:created>
  <dc:creator>Pavan Jain</dc:creator>
  <dc:description/>
  <dc:language>en-US</dc:language>
  <cp:lastModifiedBy>pjsn7</cp:lastModifiedBy>
  <dcterms:modified xsi:type="dcterms:W3CDTF">2026-08-20T04:56:47Z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