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b3598291ea4d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co" sheetId="1" r:id="R27cc864f6ef24326"/>
    <x:sheet xmlns:r="http://schemas.openxmlformats.org/officeDocument/2006/relationships" name="Summary" sheetId="2" r:id="R730cfb24275e4f64"/>
    <x:sheet xmlns:r="http://schemas.openxmlformats.org/officeDocument/2006/relationships" name="Masters" sheetId="3" r:id="R82f7857e88f24a29"/>
  </x:sheets>
</x:workbook>
</file>

<file path=xl/sharedStrings.xml><?xml version="1.0" encoding="utf-8"?>
<x:sst xmlns:x="http://schemas.openxmlformats.org/spreadsheetml/2006/main">
  <x:si>
    <x:t xml:space="preserve">PAVAN JAIN S AND CO |CHARTERED ACCOUNTANTS</x:t>
  </x:si>
  <x:si>
    <x:t xml:space="preserve">AIS/TIS/26AS/BOOKS COMPARATIVE TOOL</x:t>
  </x:si>
  <x:si>
    <x:t xml:space="preserve">NAME OF THE CLIENT</x:t>
  </x:si>
  <x:si>
    <x:t xml:space="preserve">ASSESSMENT YEAR</x:t>
  </x:si>
  <x:si>
    <x:t xml:space="preserve">FINANCIAL YEAR</x:t>
  </x:si>
  <x:si>
    <x:t xml:space="preserve">PREPARED BY</x:t>
  </x:si>
  <x:si>
    <x:t xml:space="preserve">Nature of Transactions</x:t>
  </x:si>
  <x:si>
    <x:t xml:space="preserve">Name of Party</x:t>
  </x:si>
  <x:si>
    <x:t xml:space="preserve">26AS</x:t>
  </x:si>
  <x:si>
    <x:t xml:space="preserve">AIS</x:t>
  </x:si>
  <x:si>
    <x:t xml:space="preserve">TIS</x:t>
  </x:si>
  <x:si>
    <x:t xml:space="preserve">Books</x:t>
  </x:si>
  <x:si>
    <x:t xml:space="preserve">Difference</x:t>
  </x:si>
  <x:si>
    <x:t xml:space="preserve">Does the difference tantamounts to short declaration in Books?</x:t>
  </x:si>
  <x:si>
    <x:t xml:space="preserve">Action</x:t>
  </x:si>
  <x:si>
    <x:t xml:space="preserve">Remarks</x:t>
  </x:si>
  <x:si>
    <x:t xml:space="preserve">Gross Value</x:t>
  </x:si>
  <x:si>
    <x:t xml:space="preserve">TDS/TCS</x:t>
  </x:si>
  <x:si>
    <x:t xml:space="preserve">26AS/AIS</x:t>
  </x:si>
  <x:si>
    <x:t xml:space="preserve">26AS/TIS</x:t>
  </x:si>
  <x:si>
    <x:t xml:space="preserve">AIS/TIS</x:t>
  </x:si>
  <x:si>
    <x:t xml:space="preserve">Books/AIS</x:t>
  </x:si>
  <x:si>
    <x:t xml:space="preserve">AIS/TIS/26AS/BOOKS COMPARATIVE SUMMARY</x:t>
  </x:si>
  <x:si>
    <x:t xml:space="preserve">Books/TIS</x:t>
  </x:si>
  <x:si>
    <x:t xml:space="preserve">2021-22</x:t>
  </x:si>
  <x:si>
    <x:t xml:space="preserve">92B - Salaries Receipts</x:t>
  </x:si>
  <x:si>
    <x:t xml:space="preserve">Monish Guptha</x:t>
  </x:si>
  <x:si>
    <x:t xml:space="preserve">Yes</x:t>
  </x:si>
  <x:si>
    <x:t xml:space="preserve">2022-23</x:t>
  </x:si>
  <x:si>
    <x:t xml:space="preserve">94C - Contract Receipts</x:t>
  </x:si>
  <x:si>
    <x:t xml:space="preserve">Hitanshi</x:t>
  </x:si>
  <x:si>
    <x:t xml:space="preserve">No</x:t>
  </x:si>
  <x:si>
    <x:t xml:space="preserve">2023-24</x:t>
  </x:si>
  <x:si>
    <x:t xml:space="preserve">94JA - Technical Receipts</x:t>
  </x:si>
  <x:si>
    <x:t xml:space="preserve">Hari</x:t>
  </x:si>
  <x:si>
    <x:t xml:space="preserve">NA</x:t>
  </x:si>
  <x:si>
    <x:t xml:space="preserve">2024-25</x:t>
  </x:si>
  <x:si>
    <x:t xml:space="preserve">94JB - Professional Receipts</x:t>
  </x:si>
  <x:si>
    <x:t xml:space="preserve">Harshita</x:t>
  </x:si>
  <x:si>
    <x:t xml:space="preserve">Can't Say</x:t>
  </x:si>
  <x:si>
    <x:t xml:space="preserve">2025-26</x:t>
  </x:si>
  <x:si>
    <x:t xml:space="preserve">94IA - Rent Receipts (P &amp; M) </x:t>
  </x:si>
  <x:si>
    <x:t xml:space="preserve">PJS</x:t>
  </x:si>
  <x:si>
    <x:t xml:space="preserve">2026-27</x:t>
  </x:si>
  <x:si>
    <x:t xml:space="preserve">94IB - Rent Receipts (L &amp; B) </x:t>
  </x:si>
  <x:si>
    <x:t xml:space="preserve">Others</x:t>
  </x:si>
  <x:si>
    <x:t xml:space="preserve">94A - Interest Receipts</x:t>
  </x:si>
  <x:si>
    <x:t xml:space="preserve">Divya</x:t>
  </x:si>
  <x:si>
    <x:t xml:space="preserve">94Q - Purchases</x:t>
  </x:si>
  <x:si>
    <x:t xml:space="preserve">94H - Commission Receipts</x:t>
  </x:si>
  <x:si>
    <x:t xml:space="preserve">94L - Property Transactions</x:t>
  </x:si>
  <x:si>
    <x:t xml:space="preserve">Purchase of Securities</x:t>
  </x:si>
  <x:si>
    <x:t xml:space="preserve">Sale of Securities</x:t>
  </x:si>
  <x:si>
    <x:t xml:space="preserve">GST Sales</x:t>
  </x:si>
  <x:si>
    <x:t xml:space="preserve">GST Purchases</x:t>
  </x:si>
  <x:si>
    <x:t xml:space="preserve">Advance Tax</x:t>
  </x:si>
  <x:si>
    <x:t xml:space="preserve">Cash Deposits</x:t>
  </x:si>
  <x:si>
    <x:t xml:space="preserve">Cash Withdrawals</x:t>
  </x:si>
  <x:si>
    <x:t xml:space="preserve">SAT</x:t>
  </x:si>
  <x:si>
    <x:t xml:space="preserve">206CJ - TCS Purchases</x:t>
  </x:si>
  <x:si>
    <x:t xml:space="preserve">206CE - TCS Purchases</x:t>
  </x:si>
  <x:si>
    <x:t xml:space="preserve">206CL - TCS Purchases</x:t>
  </x:si>
  <x:si>
    <x:t xml:space="preserve">206CR-TCS Purchases</x:t>
  </x:si>
  <x:si>
    <x:t xml:space="preserve">94N - Cash Withdrawals</x:t>
  </x:si>
</x:sst>
</file>

<file path=xl/styles.xml><?xml version="1.0" encoding="utf-8"?>
<x:styleSheet xmlns:x="http://schemas.openxmlformats.org/spreadsheetml/2006/main">
  <x:numFmts count="2">
    <x:numFmt numFmtId="164" formatCode="_(* #,##0.00_);_(* \(#,##0.00\);_(* \-??_);_(@_)"/>
    <x:numFmt numFmtId="165" formatCode="_ * #,##0.00_ ;_ * \-#,##0.00_ ;_ * \-??_ ;_ @_ "/>
  </x:numFmts>
  <x:fonts count="11">
    <x:font>
      <x:sz val="11"/>
      <x:color theme="1"/>
      <x:name val="Calibri"/>
    </x:font>
    <x:font>
      <x:b/>
      <x:sz val="15"/>
      <x:color theme="3"/>
      <x:name val="Calibri"/>
    </x:font>
    <x:font>
      <x:b/>
      <x:sz val="12"/>
      <x:color rgb="FFFA7D00"/>
      <x:name val="Calibri"/>
    </x:font>
    <x:font>
      <x:b/>
      <x:sz val="11"/>
      <x:color theme="3"/>
      <x:name val="Calibri"/>
    </x:font>
    <x:font>
      <x:sz val="11"/>
      <x:color rgb="FF9C5700"/>
      <x:name val="Calibri"/>
    </x:font>
    <x:font>
      <x:sz val="11"/>
      <x:color rgb="FF9C0006"/>
      <x:name val="Calibri"/>
    </x:font>
    <x:font>
      <x:sz val="11"/>
      <x:color rgb="FF006100"/>
      <x:name val="Calibri"/>
    </x:font>
    <x:font>
      <x:sz val="11"/>
      <x:color rgb="FF0000FF"/>
      <x:name val="Calibri"/>
    </x:font>
    <x:font>
      <x:sz val="11"/>
      <x:color rgb="FF333333"/>
      <x:name val="Segoe UI"/>
    </x:font>
    <x:font>
      <x:sz val="11"/>
      <x:color rgb="FF333333"/>
      <x:name val="Calibri"/>
    </x:font>
    <x:font>
      <x:b/>
      <x:sz val="11"/>
      <x:color theme="1"/>
      <x:name val="Calibri"/>
    </x:font>
  </x:fonts>
  <x:fills count="10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theme="8" tint="0.79989"/>
      </x:patternFill>
    </x:fill>
    <x:fill>
      <x:patternFill patternType="solid">
        <x:fgColor rgb="FFF2F2F2"/>
      </x:patternFill>
    </x:fill>
    <x:fill>
      <x:patternFill patternType="solid">
        <x:fgColor rgb="FFFFEB9C"/>
      </x:patternFill>
    </x:fill>
    <x:fill>
      <x:patternFill patternType="solid">
        <x:fgColor theme="5" tint="0.59987"/>
      </x:patternFill>
    </x:fill>
    <x:fill>
      <x:patternFill patternType="solid">
        <x:fgColor rgb="FFFFC7CE"/>
      </x:patternFill>
    </x:fill>
    <x:fill>
      <x:patternFill patternType="solid">
        <x:fgColor rgb="FFC6EFCE"/>
      </x:patternFill>
    </x:fill>
    <x:fill>
      <x:patternFill patternType="solid">
        <x:fgColor theme="7" tint="0.39988"/>
      </x:patternFill>
    </x:fill>
  </x:fills>
  <x:borders count="13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left style="thick">
        <x:color theme="4"/>
      </x:left>
      <x:top style="thick">
        <x:color theme="4"/>
      </x:top>
      <x:bottom style="thick">
        <x:color theme="4"/>
      </x:bottom>
    </x:border>
    <x:border>
      <x:top style="thick">
        <x:color theme="4"/>
      </x:top>
      <x:bottom style="thick">
        <x:color theme="4"/>
      </x:bottom>
    </x:border>
    <x:border>
      <x:right style="thick">
        <x:color theme="4"/>
      </x:right>
      <x:top style="thick">
        <x:color theme="4"/>
      </x:top>
      <x:bottom style="thick">
        <x:color theme="4"/>
      </x:bottom>
    </x:border>
    <x:border>
      <x:left style="medium">
        <x:color theme="4" tint="0.39988"/>
      </x:left>
      <x:top style="medium">
        <x:color theme="4" tint="0.39988"/>
      </x:top>
      <x:bottom style="medium">
        <x:color theme="4" tint="0.39988"/>
      </x:bottom>
    </x:border>
    <x:border>
      <x:left style="medium">
        <x:color theme="4" tint="0.39988"/>
      </x:left>
      <x:right style="medium">
        <x:color theme="4" tint="0.39988"/>
      </x:right>
      <x:top style="medium">
        <x:color theme="4" tint="0.39988"/>
      </x:top>
      <x:bottom style="medium">
        <x:color theme="4" tint="0.3998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medium">
        <x:color theme="4" tint="0.39988"/>
      </x:left>
      <x:right style="medium">
        <x:color theme="4" tint="0.39988"/>
      </x:right>
      <x:top style="medium">
        <x:color theme="4" tint="0.39988"/>
      </x:top>
    </x:border>
    <x:border>
      <x:left style="medium">
        <x:color theme="4" tint="0.39988"/>
      </x:left>
      <x:top style="medium">
        <x:color theme="4" tint="0.39988"/>
      </x:top>
    </x:border>
    <x:border>
      <x:left style="medium">
        <x:color theme="4" tint="0.39988"/>
      </x:left>
      <x:right style="medium">
        <x:color theme="4" tint="0.39988"/>
      </x:right>
      <x:bottom style="medium">
        <x:color theme="4" tint="0.39988"/>
      </x:bottom>
    </x:border>
    <x:border>
      <x:left style="medium">
        <x:color theme="4" tint="0.39988"/>
      </x:left>
      <x:right style="medium">
        <x:color theme="4" tint="0.39988"/>
      </x:right>
    </x:border>
    <x:border>
      <x:left style="thick">
        <x:color theme="8" tint="0.39988"/>
      </x:left>
      <x:right style="thick">
        <x:color theme="8" tint="0.39988"/>
      </x:right>
      <x:top style="thick">
        <x:color theme="8" tint="0.39988"/>
      </x:top>
      <x:bottom style="thick">
        <x:color theme="8" tint="0.39988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6" fillId="8" borderId="8" xfId="0" applyFont="1" applyFill="1" applyBorder="1" applyAlignment="1">
      <x:alignment horizontal="center"/>
    </x:xf>
    <x:xf numFmtId="0" fontId="6" fillId="8" borderId="6" xfId="0" applyFont="1" applyFill="1" applyBorder="1" applyAlignment="1">
      <x:alignment horizontal="center"/>
    </x:xf>
    <x:xf numFmtId="0" fontId="0" fillId="0" borderId="0" xfId="0"/>
    <x:xf numFmtId="0" fontId="1" fillId="2" borderId="1" xfId="0" applyFont="1" applyFill="1" applyBorder="1"/>
    <x:xf numFmtId="0" fontId="1" fillId="0" borderId="2" xfId="0" applyFont="1" applyBorder="1"/>
    <x:xf numFmtId="0" fontId="1" fillId="0" borderId="3" xfId="0" applyFont="1" applyBorder="1"/>
    <x:xf numFmtId="0" fontId="1" fillId="0" borderId="4" xfId="0" applyFont="1" applyBorder="1"/>
    <x:xf numFmtId="0" fontId="0" fillId="3" borderId="5" xfId="0" applyFill="1" applyBorder="1"/>
    <x:xf numFmtId="0" fontId="0" fillId="3" borderId="6" xfId="0" applyFill="1" applyBorder="1"/>
    <x:xf numFmtId="164" fontId="2" fillId="4" borderId="7" xfId="0" applyNumberFormat="1" applyFont="1" applyFill="1" applyBorder="1"/>
    <x:xf numFmtId="0" fontId="6" fillId="8" borderId="9" xfId="0" applyFont="1" applyFill="1" applyBorder="1" applyAlignment="1">
      <x:alignment horizontal="center"/>
    </x:xf>
    <x:xf numFmtId="0" fontId="6" fillId="8" borderId="5" xfId="0" applyFont="1" applyFill="1" applyBorder="1" applyAlignment="1">
      <x:alignment horizontal="center"/>
    </x:xf>
    <x:xf numFmtId="0" fontId="0" fillId="0" borderId="6" xfId="0" applyBorder="1"/>
    <x:xf numFmtId="49" fontId="0" fillId="0" borderId="6" xfId="0" applyNumberFormat="1" applyBorder="1" applyAlignment="1">
      <x:alignment horizontal="left" wrapText="1"/>
    </x:xf>
    <x:xf numFmtId="164" fontId="7" fillId="0" borderId="6" xfId="0" applyNumberFormat="1" applyFont="1" applyBorder="1"/>
    <x:xf numFmtId="164" fontId="0" fillId="0" borderId="6" xfId="0" applyNumberFormat="1" applyBorder="1"/>
    <x:xf numFmtId="164" fontId="0" fillId="0" borderId="10" xfId="0" applyNumberFormat="1" applyBorder="1"/>
    <x:xf numFmtId="164" fontId="0" fillId="0" borderId="10" xfId="0" applyNumberFormat="1" applyBorder="1"/>
    <x:xf numFmtId="49" fontId="0" fillId="0" borderId="10" xfId="0" applyNumberFormat="1" applyBorder="1" applyAlignment="1">
      <x:alignment horizontal="justify" wrapText="1"/>
    </x:xf>
    <x:xf numFmtId="49" fontId="8" fillId="0" borderId="6" xfId="0" applyNumberFormat="1" applyFont="1" applyBorder="1" applyAlignment="1">
      <x:alignment horizontal="left" wrapText="1"/>
    </x:xf>
    <x:xf numFmtId="164" fontId="0" fillId="9" borderId="6" xfId="0" applyNumberFormat="1" applyFill="1" applyBorder="1"/>
    <x:xf numFmtId="164" fontId="0" fillId="9" borderId="10" xfId="0" applyNumberFormat="1" applyFill="1" applyBorder="1"/>
    <x:xf numFmtId="49" fontId="0" fillId="0" borderId="6" xfId="0" applyNumberFormat="1" applyBorder="1" applyAlignment="1">
      <x:alignment horizontal="justify" wrapText="1"/>
    </x:xf>
    <x:xf numFmtId="0" fontId="0" fillId="0" borderId="8" xfId="0" applyBorder="1"/>
    <x:xf numFmtId="49" fontId="8" fillId="0" borderId="8" xfId="0" applyNumberFormat="1" applyFont="1" applyBorder="1" applyAlignment="1">
      <x:alignment horizontal="left" wrapText="1"/>
    </x:xf>
    <x:xf numFmtId="164" fontId="0" fillId="9" borderId="8" xfId="0" applyNumberFormat="1" applyFill="1" applyBorder="1"/>
    <x:xf numFmtId="164" fontId="0" fillId="0" borderId="11" xfId="0" applyNumberFormat="1" applyBorder="1"/>
    <x:xf numFmtId="164" fontId="0" fillId="0" borderId="11" xfId="0" applyNumberFormat="1" applyBorder="1"/>
    <x:xf numFmtId="49" fontId="0" fillId="0" borderId="8" xfId="0" applyNumberFormat="1" applyBorder="1" applyAlignment="1">
      <x:alignment horizontal="justify" wrapText="1"/>
    </x:xf>
    <x:xf numFmtId="0" fontId="0" fillId="0" borderId="12" xfId="0" applyBorder="1"/>
    <x:xf numFmtId="49" fontId="8" fillId="0" borderId="12" xfId="0" applyNumberFormat="1" applyFont="1" applyBorder="1" applyAlignment="1">
      <x:alignment horizontal="left" wrapText="1"/>
    </x:xf>
    <x:xf numFmtId="164" fontId="0" fillId="9" borderId="12" xfId="0" applyNumberFormat="1" applyFill="1" applyBorder="1"/>
    <x:xf numFmtId="164" fontId="0" fillId="0" borderId="12" xfId="0" applyNumberFormat="1" applyBorder="1"/>
    <x:xf numFmtId="164" fontId="0" fillId="0" borderId="12" xfId="0" applyNumberFormat="1" applyBorder="1"/>
    <x:xf numFmtId="49" fontId="0" fillId="0" borderId="12" xfId="0" applyNumberFormat="1" applyBorder="1" applyAlignment="1">
      <x:alignment horizontal="justify" wrapText="1"/>
    </x:xf>
    <x:xf numFmtId="0" fontId="9" fillId="0" borderId="12" xfId="0" applyFont="1" applyBorder="1"/>
    <x:xf numFmtId="49" fontId="0" fillId="0" borderId="12" xfId="0" applyNumberFormat="1" applyBorder="1" applyAlignment="1">
      <x:alignment horizontal="left" wrapText="1"/>
    </x:xf>
    <x:xf numFmtId="0" fontId="0" fillId="0" borderId="6" xfId="0" applyBorder="1"/>
    <x:xf numFmtId="164" fontId="0" fillId="0" borderId="6" xfId="0" applyNumberFormat="1" applyBorder="1"/>
    <x:xf numFmtId="164" fontId="0" fillId="0" borderId="5" xfId="0" applyNumberFormat="1" applyBorder="1"/>
    <x:xf numFmtId="0" fontId="10" fillId="0" borderId="6" xfId="0" applyFont="1" applyBorder="1"/>
    <x:xf numFmtId="164" fontId="10" fillId="0" borderId="6" xfId="0" applyNumberFormat="1" applyFont="1" applyBorder="1"/>
    <x:xf numFmtId="164" fontId="10" fillId="0" borderId="5" xfId="0" applyNumberFormat="1" applyFont="1" applyBorder="1"/>
    <x:xf numFmtId="165" fontId="0" fillId="0" borderId="0" xfId="0" applyNumberFormat="1"/>
    <x:xf numFmtId="0" fontId="5" fillId="7" borderId="6" xfId="0" applyFont="1" applyFill="1" applyBorder="1" applyAlignment="1">
      <x:alignment horizontal="center" wrapText="1"/>
    </x:xf>
    <x:xf numFmtId="0" fontId="5" fillId="7" borderId="6" xfId="0" applyFont="1" applyFill="1" applyBorder="1" applyAlignment="1">
      <x:alignment horizontal="center"/>
    </x:xf>
    <x:xf numFmtId="0" fontId="6" fillId="8" borderId="6" xfId="0" applyFont="1" applyFill="1" applyBorder="1" applyAlignment="1">
      <x:alignment horizontal="center"/>
    </x:xf>
    <x:xf numFmtId="0" fontId="4" fillId="5" borderId="6" xfId="0" applyFont="1" applyFill="1" applyBorder="1" applyAlignment="1">
      <x:alignment horizontal="center"/>
    </x:xf>
    <x:xf numFmtId="0" fontId="4" fillId="5" borderId="8" xfId="0" applyFont="1" applyFill="1" applyBorder="1" applyAlignment="1">
      <x:alignment horizontal="center"/>
    </x:xf>
    <x:xf numFmtId="0" fontId="4" fillId="6" borderId="6" xfId="0" applyFont="1" applyFill="1" applyBorder="1" applyAlignment="1">
      <x:alignment horizontal="center"/>
    </x:xf>
    <x:xf numFmtId="0" fontId="0" fillId="3" borderId="6" xfId="0" applyFill="1" applyBorder="1" applyAlignment="1">
      <x:alignment horizontal="left"/>
    </x:xf>
    <x:xf numFmtId="0" fontId="3" fillId="3" borderId="8" xfId="0" applyFont="1" applyFill="1" applyBorder="1" applyAlignment="1">
      <x:alignment horizontal="center"/>
    </x:xf>
    <x:xf numFmtId="0" fontId="6" fillId="8" borderId="8" xfId="0" applyFont="1" applyFill="1" applyBorder="1" applyAlignment="1">
      <x:alignment horizontal="center"/>
    </x:xf>
    <x:xf numFmtId="0" fontId="0" fillId="3" borderId="6" xfId="0" applyFill="1" applyBorder="1" applyAlignment="1">
      <x:alignment horizontal="left"/>
    </x:xf>
    <x:xf numFmtId="0" fontId="3" fillId="3" borderId="6" xfId="0" applyFont="1" applyFill="1" applyBorder="1" applyAlignment="1">
      <x:alignment horizontal="center"/>
    </x:xf>
  </x:cellXfs>
  <x:cellStyles count="1">
    <x:cellStyle name="Normal" xfId="0"/>
  </x:cellStyles>
  <x:dxfs count="1">
    <x:dxf>
      <x:font>
        <x:color rgb="FF9C0006"/>
      </x:font>
      <x:fill>
        <x:patternFill>
          <x:bgColor rgb="FFFFC7CE"/>
        </x:patternFill>
      </x:fill>
    </x:dxf>
  </x:dxfs>
  <x:colors>
    <x:indexedColors>
      <x:rgbColor rgb="FF000000"/>
      <x:rgbColor rgb="FFF2F2F2"/>
      <x:rgbColor rgb="FFFF0000"/>
      <x:rgbColor rgb="FF00FF00"/>
      <x:rgbColor rgb="FF0000FF"/>
      <x:rgbColor rgb="FFFFFF00"/>
      <x:rgbColor rgb="FFFF00FF"/>
      <x:rgbColor rgb="FF00FFFF"/>
      <x:rgbColor rgb="FF9C0006"/>
      <x:rgbColor rgb="FF006100"/>
      <x:rgbColor rgb="FF000080"/>
      <x:rgbColor rgb="FF808000"/>
      <x:rgbColor rgb="FF800080"/>
      <x:rgbColor rgb="FF008080"/>
      <x:rgbColor rgb="FFB2B2B2"/>
      <x:rgbColor rgb="FF7F7F7F"/>
      <x:rgbColor rgb="FF8FAADC"/>
      <x:rgbColor rgb="FF993366"/>
      <x:rgbColor rgb="FFFFFFCC"/>
      <x:rgbColor rgb="FFDEEBF7"/>
      <x:rgbColor rgb="FF660066"/>
      <x:rgbColor rgb="FFFF8080"/>
      <x:rgbColor rgb="FF0066CC"/>
      <x:rgbColor rgb="FFFFC7CE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6EFCE"/>
      <x:rgbColor rgb="FFFFEB9C"/>
      <x:rgbColor rgb="FF9DC3E6"/>
      <x:rgbColor rgb="FFFF99CC"/>
      <x:rgbColor rgb="FFCC99FF"/>
      <x:rgbColor rgb="FFF8CBAD"/>
      <x:rgbColor rgb="FF4472C4"/>
      <x:rgbColor rgb="FF33CCCC"/>
      <x:rgbColor rgb="FF99CC00"/>
      <x:rgbColor rgb="FFFFD966"/>
      <x:rgbColor rgb="FFFF9900"/>
      <x:rgbColor rgb="FFFA7D00"/>
      <x:rgbColor rgb="FF44546A"/>
      <x:rgbColor rgb="FF969696"/>
      <x:rgbColor rgb="FF003366"/>
      <x:rgbColor rgb="FF339966"/>
      <x:rgbColor rgb="FF003300"/>
      <x:rgbColor rgb="FF333300"/>
      <x:rgbColor rgb="FF9C5700"/>
      <x:rgbColor rgb="FF993366"/>
      <x:rgbColor rgb="FF333399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765bcd06804035" /><Relationship Type="http://schemas.openxmlformats.org/officeDocument/2006/relationships/theme" Target="/xl/theme/theme1.xml" Id="R48ca7841597f4f91" /><Relationship Type="http://schemas.openxmlformats.org/officeDocument/2006/relationships/sharedStrings" Target="/xl/sharedStrings.xml" Id="R8cddab24b9414118" /><Relationship Type="http://schemas.openxmlformats.org/officeDocument/2006/relationships/worksheet" Target="/xl/worksheets/sheet1.xml" Id="R27cc864f6ef24326" /><Relationship Type="http://schemas.openxmlformats.org/officeDocument/2006/relationships/worksheet" Target="/xl/worksheets/sheet2.xml" Id="R730cfb24275e4f64" /><Relationship Type="http://schemas.openxmlformats.org/officeDocument/2006/relationships/worksheet" Target="/xl/worksheets/sheet3.xml" Id="R82f7857e88f24a29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8.88671875" defaultRowHeight="14.399999618530273"/>
  <x:cols>
    <x:col min="1" max="1" width="27.5546875" style="3" customWidth="1"/>
    <x:col min="2" max="2" width="69.6640625" style="3" customWidth="1"/>
    <x:col min="3" max="18" width="22.6640625" style="3" customWidth="1"/>
    <x:col min="19" max="19" width="31.6640625" style="3" customWidth="1"/>
    <x:col min="20" max="20" width="13.5546875" style="3" customWidth="1"/>
    <x:col min="21" max="21" width="33.5546875" style="3" customWidth="1"/>
    <x:col min="22" max="16384" width="8.88671875" style="3" customWidth="0"/>
  </x:cols>
  <x:sheetData>
    <x:row r="1" ht="19.5" customHeight="1">
      <x:c r="A1" s="4" t="s">
        <x:v>0</x:v>
      </x:c>
      <x:c r="B1" s="4"/>
      <x:c r="C1" s="4"/>
      <x:c r="D1" s="4"/>
    </x:row>
    <x:row r="2" ht="15.75" customHeight="1"/>
    <x:row r="3" ht="21" customHeight="1">
      <x:c r="A3" s="5" t="s">
        <x:v>1</x:v>
      </x:c>
      <x:c r="B3" s="6"/>
      <x:c r="C3" s="7"/>
    </x:row>
    <x:row r="4" ht="16.5" customHeight="1"/>
    <x:row r="5" ht="15.75" customHeight="1">
      <x:c r="A5" s="8" t="s">
        <x:v>2</x:v>
      </x:c>
      <x:c r="B5" s="51"/>
      <x:c r="C5" s="51"/>
      <x:c r="D5" s="51"/>
    </x:row>
    <x:row r="6" ht="15.75" customHeight="1">
      <x:c r="A6" s="9" t="s">
        <x:v>3</x:v>
      </x:c>
      <x:c r="B6" s="51"/>
      <x:c r="C6" s="51"/>
      <x:c r="D6" s="51"/>
    </x:row>
    <x:row r="7" ht="15.75" customHeight="1">
      <x:c r="A7" s="9" t="s">
        <x:v>4</x:v>
      </x:c>
      <x:c r="B7" s="51"/>
      <x:c r="C7" s="51"/>
      <x:c r="D7" s="51"/>
    </x:row>
    <x:row r="8" ht="15.75" customHeight="1">
      <x:c r="A8" s="9" t="s">
        <x:v>5</x:v>
      </x:c>
      <x:c r="B8" s="51"/>
      <x:c r="C8" s="51"/>
      <x:c r="D8" s="51"/>
    </x:row>
    <x:row r="9" ht="16.5" customHeight="1">
      <x:c r="C9" s="10" t="n">
        <x:f t="shared" ref="C9:R9" si="0">SUBTOTAL(9,C12:C65)</x:f>
        <x:v>0</x:v>
      </x:c>
      <x:c r="D9" s="10">
        <x:f t="shared" si="0"/>
        <x:v>0</x:v>
      </x:c>
      <x:c r="E9" s="10">
        <x:f t="shared" si="0"/>
        <x:v>0</x:v>
      </x:c>
      <x:c r="F9" s="10">
        <x:f t="shared" si="0"/>
        <x:v>0</x:v>
      </x:c>
      <x:c r="G9" s="10">
        <x:f t="shared" si="0"/>
        <x:v>0</x:v>
      </x:c>
      <x:c r="H9" s="10">
        <x:f t="shared" si="0"/>
        <x:v>0</x:v>
      </x:c>
      <x:c r="I9" s="10">
        <x:f t="shared" si="0"/>
        <x:v>0</x:v>
      </x:c>
      <x:c r="J9" s="10">
        <x:f t="shared" si="0"/>
        <x:v>0</x:v>
      </x:c>
      <x:c r="K9" s="10">
        <x:f t="shared" si="0"/>
        <x:v>0</x:v>
      </x:c>
      <x:c r="L9" s="10">
        <x:f t="shared" si="0"/>
        <x:v>0</x:v>
      </x:c>
      <x:c r="M9" s="10">
        <x:f t="shared" si="0"/>
        <x:v>0</x:v>
      </x:c>
      <x:c r="N9" s="10">
        <x:f t="shared" si="0"/>
        <x:v>0</x:v>
      </x:c>
      <x:c r="O9" s="10">
        <x:f t="shared" si="0"/>
        <x:v>0</x:v>
      </x:c>
      <x:c r="P9" s="10">
        <x:f t="shared" si="0"/>
        <x:v>0</x:v>
      </x:c>
      <x:c r="Q9" s="10">
        <x:f t="shared" si="0"/>
        <x:v>0</x:v>
      </x:c>
      <x:c r="R9" s="10">
        <x:f t="shared" si="0"/>
        <x:v>0</x:v>
      </x:c>
    </x:row>
    <x:row r="10" ht="15.75" customHeight="1">
      <x:c r="A10" s="52" t="s">
        <x:v>6</x:v>
      </x:c>
      <x:c r="B10" s="52" t="s">
        <x:v>7</x:v>
      </x:c>
      <x:c r="C10" s="48" t="s">
        <x:v>8</x:v>
      </x:c>
      <x:c r="D10" s="48"/>
      <x:c r="E10" s="48" t="s">
        <x:v>9</x:v>
      </x:c>
      <x:c r="F10" s="48"/>
      <x:c r="G10" s="48" t="s">
        <x:v>10</x:v>
      </x:c>
      <x:c r="H10" s="48"/>
      <x:c r="I10" s="49" t="s">
        <x:v>11</x:v>
      </x:c>
      <x:c r="J10" s="49"/>
      <x:c r="K10" s="50" t="s">
        <x:v>12</x:v>
      </x:c>
      <x:c r="L10" s="50"/>
      <x:c r="M10" s="50"/>
      <x:c r="N10" s="50"/>
      <x:c r="O10" s="50"/>
      <x:c r="P10" s="50"/>
      <x:c r="Q10" s="50"/>
      <x:c r="R10" s="50"/>
      <x:c r="S10" s="45" t="s">
        <x:v>13</x:v>
      </x:c>
      <x:c r="T10" s="45" t="s">
        <x:v>14</x:v>
      </x:c>
      <x:c r="U10" s="46" t="s">
        <x:v>15</x:v>
      </x:c>
    </x:row>
    <x:row r="11" ht="15" customHeight="1">
      <x:c r="A11" s="52"/>
      <x:c r="B11" s="52"/>
      <x:c r="C11" s="1" t="s">
        <x:v>16</x:v>
      </x:c>
      <x:c r="D11" s="1" t="s">
        <x:v>17</x:v>
      </x:c>
      <x:c r="E11" s="1" t="s">
        <x:v>16</x:v>
      </x:c>
      <x:c r="F11" s="1" t="s">
        <x:v>17</x:v>
      </x:c>
      <x:c r="G11" s="1" t="s">
        <x:v>16</x:v>
      </x:c>
      <x:c r="H11" s="11" t="s">
        <x:v>17</x:v>
      </x:c>
      <x:c r="I11" s="2" t="s">
        <x:v>16</x:v>
      </x:c>
      <x:c r="J11" s="12" t="s">
        <x:v>17</x:v>
      </x:c>
      <x:c r="K11" s="47" t="s">
        <x:v>18</x:v>
      </x:c>
      <x:c r="L11" s="47"/>
      <x:c r="M11" s="47" t="s">
        <x:v>19</x:v>
      </x:c>
      <x:c r="N11" s="47"/>
      <x:c r="O11" s="47" t="s">
        <x:v>20</x:v>
      </x:c>
      <x:c r="P11" s="47"/>
      <x:c r="Q11" s="47" t="s">
        <x:v>21</x:v>
      </x:c>
      <x:c r="R11" s="47"/>
      <x:c r="S11" s="45"/>
      <x:c r="T11" s="45"/>
      <x:c r="U11" s="45"/>
    </x:row>
    <x:row r="12" ht="15.75" customHeight="1">
      <x:c r="A12" s="13"/>
      <x:c r="B12" s="14"/>
      <x:c r="C12" s="15"/>
      <x:c r="D12" s="15"/>
      <x:c r="E12" s="15"/>
      <x:c r="F12" s="15"/>
      <x:c r="G12" s="15"/>
      <x:c r="H12" s="16"/>
      <x:c r="I12" s="17"/>
      <x:c r="J12" s="17"/>
      <x:c r="K12" s="18" t="str">
        <x:f t="shared" ref="K12:K43" si="1">IF(OR(C12="",E12="",C12="NA",E12="NA"),"",ROUND(C12-E12,-1))</x:f>
      </x:c>
      <x:c r="L12" s="18" t="str">
        <x:f t="shared" ref="L12:L43" si="2">IF(OR(D12="",F12="",D12="NA",F12="NA"),"",ROUND(D12-F12,-1))</x:f>
      </x:c>
      <x:c r="M12" s="18" t="str">
        <x:f t="shared" ref="M12:M43" si="3">IF(OR(C12="",G12="",C12="NA",G12="NA"),"",ROUND(C12-G12,-1))</x:f>
      </x:c>
      <x:c r="N12" s="18" t="str">
        <x:f t="shared" ref="N12:N43" si="4">IF(OR(D12="",H12="",D12="NA",H12="NA"),"",ROUND(D12-H12,-1))</x:f>
      </x:c>
      <x:c r="O12" s="18" t="str">
        <x:f t="shared" ref="O12:O43" si="5">IF(OR(E12="",G12="",E12="NA",G12="NA"),"",ROUND(E12-G12,-1))</x:f>
      </x:c>
      <x:c r="P12" s="18" t="str">
        <x:f t="shared" ref="P12:P43" si="6">IF(OR(F12="",H12="",F12="NA",H12="NA"),"",ROUND(F12-H12,-1))</x:f>
      </x:c>
      <x:c r="Q12" s="18" t="str">
        <x:f t="shared" ref="Q12:Q43" si="7">IF(OR(E12="",I12="",E12="NA",I12="NA"),"",ROUND(IF(E12&gt;I12,E12-I12,0),-1))</x:f>
      </x:c>
      <x:c r="R12" s="18" t="str">
        <x:f t="shared" ref="R12:R43" si="8">IF(OR(F12="",J12="",F12="NA",J12="NA"),"",ROUND(IF(F12&gt;J12,F12-J12,0),-1))</x:f>
      </x:c>
      <x:c r="S12" s="17"/>
      <x:c r="T12" s="18" t="str">
        <x:f t="shared" ref="T12:T43" si="9">IF(S12="Yes","Report","No Action")</x:f>
        <x:v>No Action</x:v>
      </x:c>
      <x:c r="U12" s="19"/>
    </x:row>
    <x:row r="13" ht="15.75" customHeight="1">
      <x:c r="A13" s="13"/>
      <x:c r="B13" s="14"/>
      <x:c r="C13" s="15"/>
      <x:c r="D13" s="15"/>
      <x:c r="E13" s="15"/>
      <x:c r="F13" s="16"/>
      <x:c r="G13" s="16"/>
      <x:c r="H13" s="16"/>
      <x:c r="I13" s="17"/>
      <x:c r="J13" s="17"/>
      <x:c r="K13" s="18" t="str">
        <x:f t="shared" si="1">IF(OR(C13="",E13="",C13="NA",E13="NA"),"",ROUND(C13-E13,-1))</x:f>
      </x:c>
      <x:c r="L13" s="18" t="str">
        <x:f t="shared" si="2">IF(OR(D13="",F13="",D13="NA",F13="NA"),"",ROUND(D13-F13,-1))</x:f>
      </x:c>
      <x:c r="M13" s="18" t="str">
        <x:f t="shared" si="3">IF(OR(C13="",G13="",C13="NA",G13="NA"),"",ROUND(C13-G13,-1))</x:f>
      </x:c>
      <x:c r="N13" s="18" t="str">
        <x:f t="shared" si="4">IF(OR(D13="",H13="",D13="NA",H13="NA"),"",ROUND(D13-H13,-1))</x:f>
      </x:c>
      <x:c r="O13" s="18" t="str">
        <x:f t="shared" si="5">IF(OR(E13="",G13="",E13="NA",G13="NA"),"",ROUND(E13-G13,-1))</x:f>
      </x:c>
      <x:c r="P13" s="18" t="str">
        <x:f t="shared" si="6">IF(OR(F13="",H13="",F13="NA",H13="NA"),"",ROUND(F13-H13,-1))</x:f>
      </x:c>
      <x:c r="Q13" s="18" t="str">
        <x:f t="shared" si="7">IF(OR(E13="",I13="",E13="NA",I13="NA"),"",ROUND(IF(E13&gt;I13,E13-I13,0),-1))</x:f>
      </x:c>
      <x:c r="R13" s="18" t="str">
        <x:f t="shared" si="8">IF(OR(F13="",J13="",F13="NA",J13="NA"),"",ROUND(IF(F13&gt;J13,F13-J13,0),-1))</x:f>
      </x:c>
      <x:c r="S13" s="17"/>
      <x:c r="T13" s="18" t="str">
        <x:f t="shared" si="9"/>
        <x:v>No Action</x:v>
      </x:c>
      <x:c r="U13" s="19"/>
    </x:row>
    <x:row r="14" ht="15.75" customHeight="1">
      <x:c r="A14" s="13"/>
      <x:c r="B14" s="14"/>
      <x:c r="C14" s="15"/>
      <x:c r="D14" s="15"/>
      <x:c r="E14" s="15"/>
      <x:c r="F14" s="16"/>
      <x:c r="G14" s="16"/>
      <x:c r="H14" s="16"/>
      <x:c r="I14" s="17"/>
      <x:c r="J14" s="17"/>
      <x:c r="K14" s="18" t="str">
        <x:f t="shared" si="1">IF(OR(C14="",E14="",C14="NA",E14="NA"),"",ROUND(C14-E14,-1))</x:f>
      </x:c>
      <x:c r="L14" s="18" t="str">
        <x:f t="shared" si="2">IF(OR(D14="",F14="",D14="NA",F14="NA"),"",ROUND(D14-F14,-1))</x:f>
      </x:c>
      <x:c r="M14" s="18" t="str">
        <x:f t="shared" si="3">IF(OR(C14="",G14="",C14="NA",G14="NA"),"",ROUND(C14-G14,-1))</x:f>
      </x:c>
      <x:c r="N14" s="18" t="str">
        <x:f t="shared" si="4">IF(OR(D14="",H14="",D14="NA",H14="NA"),"",ROUND(D14-H14,-1))</x:f>
      </x:c>
      <x:c r="O14" s="18" t="str">
        <x:f t="shared" si="5">IF(OR(E14="",G14="",E14="NA",G14="NA"),"",ROUND(E14-G14,-1))</x:f>
      </x:c>
      <x:c r="P14" s="18" t="str">
        <x:f t="shared" si="6">IF(OR(F14="",H14="",F14="NA",H14="NA"),"",ROUND(F14-H14,-1))</x:f>
      </x:c>
      <x:c r="Q14" s="18" t="str">
        <x:f t="shared" si="7">IF(OR(E14="",I14="",E14="NA",I14="NA"),"",ROUND(IF(E14&gt;I14,E14-I14,0),-1))</x:f>
      </x:c>
      <x:c r="R14" s="18" t="str">
        <x:f t="shared" si="8">IF(OR(F14="",J14="",F14="NA",J14="NA"),"",ROUND(IF(F14&gt;J14,F14-J14,0),-1))</x:f>
      </x:c>
      <x:c r="S14" s="17"/>
      <x:c r="T14" s="18" t="str">
        <x:f t="shared" si="9"/>
        <x:v>No Action</x:v>
      </x:c>
      <x:c r="U14" s="19"/>
    </x:row>
    <x:row r="15" ht="15.75" customHeight="1">
      <x:c r="A15" s="13"/>
      <x:c r="B15" s="14"/>
      <x:c r="C15" s="15"/>
      <x:c r="D15" s="15"/>
      <x:c r="E15" s="15"/>
      <x:c r="F15" s="16"/>
      <x:c r="G15" s="16"/>
      <x:c r="H15" s="16"/>
      <x:c r="I15" s="17"/>
      <x:c r="J15" s="17"/>
      <x:c r="K15" s="18" t="str">
        <x:f t="shared" si="1">IF(OR(C15="",E15="",C15="NA",E15="NA"),"",ROUND(C15-E15,-1))</x:f>
      </x:c>
      <x:c r="L15" s="18" t="str">
        <x:f t="shared" si="2">IF(OR(D15="",F15="",D15="NA",F15="NA"),"",ROUND(D15-F15,-1))</x:f>
      </x:c>
      <x:c r="M15" s="18" t="str">
        <x:f t="shared" si="3">IF(OR(C15="",G15="",C15="NA",G15="NA"),"",ROUND(C15-G15,-1))</x:f>
      </x:c>
      <x:c r="N15" s="18" t="str">
        <x:f t="shared" si="4">IF(OR(D15="",H15="",D15="NA",H15="NA"),"",ROUND(D15-H15,-1))</x:f>
      </x:c>
      <x:c r="O15" s="18" t="str">
        <x:f t="shared" si="5">IF(OR(E15="",G15="",E15="NA",G15="NA"),"",ROUND(E15-G15,-1))</x:f>
      </x:c>
      <x:c r="P15" s="18" t="str">
        <x:f t="shared" si="6">IF(OR(F15="",H15="",F15="NA",H15="NA"),"",ROUND(F15-H15,-1))</x:f>
      </x:c>
      <x:c r="Q15" s="18" t="str">
        <x:f t="shared" si="7">IF(OR(E15="",I15="",E15="NA",I15="NA"),"",ROUND(IF(E15&gt;I15,E15-I15,0),-1))</x:f>
      </x:c>
      <x:c r="R15" s="18" t="str">
        <x:f t="shared" si="8">IF(OR(F15="",J15="",F15="NA",J15="NA"),"",ROUND(IF(F15&gt;J15,F15-J15,0),-1))</x:f>
      </x:c>
      <x:c r="S15" s="17"/>
      <x:c r="T15" s="18" t="str">
        <x:f t="shared" si="9"/>
        <x:v>No Action</x:v>
      </x:c>
      <x:c r="U15" s="19"/>
    </x:row>
    <x:row r="16" ht="15.75" customHeight="1">
      <x:c r="A16" s="13"/>
      <x:c r="B16" s="14"/>
      <x:c r="C16" s="15"/>
      <x:c r="D16" s="15"/>
      <x:c r="E16" s="15"/>
      <x:c r="F16" s="16"/>
      <x:c r="G16" s="16"/>
      <x:c r="H16" s="16"/>
      <x:c r="I16" s="17"/>
      <x:c r="J16" s="17"/>
      <x:c r="K16" s="18" t="str">
        <x:f t="shared" si="1">IF(OR(C16="",E16="",C16="NA",E16="NA"),"",ROUND(C16-E16,-1))</x:f>
      </x:c>
      <x:c r="L16" s="18" t="str">
        <x:f t="shared" si="2">IF(OR(D16="",F16="",D16="NA",F16="NA"),"",ROUND(D16-F16,-1))</x:f>
      </x:c>
      <x:c r="M16" s="18" t="str">
        <x:f t="shared" si="3">IF(OR(C16="",G16="",C16="NA",G16="NA"),"",ROUND(C16-G16,-1))</x:f>
      </x:c>
      <x:c r="N16" s="18" t="str">
        <x:f t="shared" si="4">IF(OR(D16="",H16="",D16="NA",H16="NA"),"",ROUND(D16-H16,-1))</x:f>
      </x:c>
      <x:c r="O16" s="18" t="str">
        <x:f t="shared" si="5">IF(OR(E16="",G16="",E16="NA",G16="NA"),"",ROUND(E16-G16,-1))</x:f>
      </x:c>
      <x:c r="P16" s="18" t="str">
        <x:f t="shared" si="6">IF(OR(F16="",H16="",F16="NA",H16="NA"),"",ROUND(F16-H16,-1))</x:f>
      </x:c>
      <x:c r="Q16" s="18" t="str">
        <x:f t="shared" si="7">IF(OR(E16="",I16="",E16="NA",I16="NA"),"",ROUND(IF(E16&gt;I16,E16-I16,0),-1))</x:f>
      </x:c>
      <x:c r="R16" s="18" t="str">
        <x:f t="shared" si="8">IF(OR(F16="",J16="",F16="NA",J16="NA"),"",ROUND(IF(F16&gt;J16,F16-J16,0),-1))</x:f>
      </x:c>
      <x:c r="S16" s="17"/>
      <x:c r="T16" s="18" t="str">
        <x:f t="shared" si="9"/>
        <x:v>No Action</x:v>
      </x:c>
      <x:c r="U16" s="19"/>
    </x:row>
    <x:row r="17" ht="15.75" customHeight="1">
      <x:c r="A17" s="13"/>
      <x:c r="B17" s="14"/>
      <x:c r="C17" s="15"/>
      <x:c r="D17" s="15"/>
      <x:c r="E17" s="15"/>
      <x:c r="F17" s="16"/>
      <x:c r="G17" s="16"/>
      <x:c r="H17" s="16"/>
      <x:c r="I17" s="17"/>
      <x:c r="J17" s="17"/>
      <x:c r="K17" s="18" t="str">
        <x:f t="shared" si="1">IF(OR(C17="",E17="",C17="NA",E17="NA"),"",ROUND(C17-E17,-1))</x:f>
      </x:c>
      <x:c r="L17" s="18" t="str">
        <x:f t="shared" si="2">IF(OR(D17="",F17="",D17="NA",F17="NA"),"",ROUND(D17-F17,-1))</x:f>
      </x:c>
      <x:c r="M17" s="18" t="str">
        <x:f t="shared" si="3">IF(OR(C17="",G17="",C17="NA",G17="NA"),"",ROUND(C17-G17,-1))</x:f>
      </x:c>
      <x:c r="N17" s="18" t="str">
        <x:f t="shared" si="4">IF(OR(D17="",H17="",D17="NA",H17="NA"),"",ROUND(D17-H17,-1))</x:f>
      </x:c>
      <x:c r="O17" s="18" t="str">
        <x:f t="shared" si="5">IF(OR(E17="",G17="",E17="NA",G17="NA"),"",ROUND(E17-G17,-1))</x:f>
      </x:c>
      <x:c r="P17" s="18" t="str">
        <x:f t="shared" si="6">IF(OR(F17="",H17="",F17="NA",H17="NA"),"",ROUND(F17-H17,-1))</x:f>
      </x:c>
      <x:c r="Q17" s="18" t="str">
        <x:f t="shared" si="7">IF(OR(E17="",I17="",E17="NA",I17="NA"),"",ROUND(IF(E17&gt;I17,E17-I17,0),-1))</x:f>
      </x:c>
      <x:c r="R17" s="18" t="str">
        <x:f t="shared" si="8">IF(OR(F17="",J17="",F17="NA",J17="NA"),"",ROUND(IF(F17&gt;J17,F17-J17,0),-1))</x:f>
      </x:c>
      <x:c r="S17" s="17"/>
      <x:c r="T17" s="18" t="str">
        <x:f t="shared" si="9"/>
        <x:v>No Action</x:v>
      </x:c>
      <x:c r="U17" s="19"/>
    </x:row>
    <x:row r="18" ht="15.75" customHeight="1">
      <x:c r="A18" s="13"/>
      <x:c r="B18" s="14"/>
      <x:c r="C18" s="15"/>
      <x:c r="D18" s="15"/>
      <x:c r="E18" s="15"/>
      <x:c r="F18" s="16"/>
      <x:c r="G18" s="16"/>
      <x:c r="H18" s="16"/>
      <x:c r="I18" s="17"/>
      <x:c r="J18" s="17"/>
      <x:c r="K18" s="18" t="str">
        <x:f t="shared" si="1">IF(OR(C18="",E18="",C18="NA",E18="NA"),"",ROUND(C18-E18,-1))</x:f>
      </x:c>
      <x:c r="L18" s="18" t="str">
        <x:f t="shared" si="2">IF(OR(D18="",F18="",D18="NA",F18="NA"),"",ROUND(D18-F18,-1))</x:f>
      </x:c>
      <x:c r="M18" s="18" t="str">
        <x:f t="shared" si="3">IF(OR(C18="",G18="",C18="NA",G18="NA"),"",ROUND(C18-G18,-1))</x:f>
      </x:c>
      <x:c r="N18" s="18" t="str">
        <x:f t="shared" si="4">IF(OR(D18="",H18="",D18="NA",H18="NA"),"",ROUND(D18-H18,-1))</x:f>
      </x:c>
      <x:c r="O18" s="18" t="str">
        <x:f t="shared" si="5">IF(OR(E18="",G18="",E18="NA",G18="NA"),"",ROUND(E18-G18,-1))</x:f>
      </x:c>
      <x:c r="P18" s="18" t="str">
        <x:f t="shared" si="6">IF(OR(F18="",H18="",F18="NA",H18="NA"),"",ROUND(F18-H18,-1))</x:f>
      </x:c>
      <x:c r="Q18" s="18" t="str">
        <x:f t="shared" si="7">IF(OR(E18="",I18="",E18="NA",I18="NA"),"",ROUND(IF(E18&gt;I18,E18-I18,0),-1))</x:f>
      </x:c>
      <x:c r="R18" s="18" t="str">
        <x:f t="shared" si="8">IF(OR(F18="",J18="",F18="NA",J18="NA"),"",ROUND(IF(F18&gt;J18,F18-J18,0),-1))</x:f>
      </x:c>
      <x:c r="S18" s="17"/>
      <x:c r="T18" s="18" t="str">
        <x:f t="shared" si="9"/>
        <x:v>No Action</x:v>
      </x:c>
      <x:c r="U18" s="19"/>
    </x:row>
    <x:row r="19" ht="15.75" customHeight="1">
      <x:c r="A19" s="13"/>
      <x:c r="B19" s="14"/>
      <x:c r="C19" s="15"/>
      <x:c r="D19" s="15"/>
      <x:c r="E19" s="15"/>
      <x:c r="F19" s="16"/>
      <x:c r="G19" s="16"/>
      <x:c r="H19" s="16"/>
      <x:c r="I19" s="17"/>
      <x:c r="J19" s="17"/>
      <x:c r="K19" s="18" t="str">
        <x:f t="shared" si="1">IF(OR(C19="",E19="",C19="NA",E19="NA"),"",ROUND(C19-E19,-1))</x:f>
      </x:c>
      <x:c r="L19" s="18" t="str">
        <x:f t="shared" si="2">IF(OR(D19="",F19="",D19="NA",F19="NA"),"",ROUND(D19-F19,-1))</x:f>
      </x:c>
      <x:c r="M19" s="18" t="str">
        <x:f t="shared" si="3">IF(OR(C19="",G19="",C19="NA",G19="NA"),"",ROUND(C19-G19,-1))</x:f>
      </x:c>
      <x:c r="N19" s="18" t="str">
        <x:f t="shared" si="4">IF(OR(D19="",H19="",D19="NA",H19="NA"),"",ROUND(D19-H19,-1))</x:f>
      </x:c>
      <x:c r="O19" s="18" t="str">
        <x:f t="shared" si="5">IF(OR(E19="",G19="",E19="NA",G19="NA"),"",ROUND(E19-G19,-1))</x:f>
      </x:c>
      <x:c r="P19" s="18" t="str">
        <x:f t="shared" si="6">IF(OR(F19="",H19="",F19="NA",H19="NA"),"",ROUND(F19-H19,-1))</x:f>
      </x:c>
      <x:c r="Q19" s="18" t="str">
        <x:f t="shared" si="7">IF(OR(E19="",I19="",E19="NA",I19="NA"),"",ROUND(IF(E19&gt;I19,E19-I19,0),-1))</x:f>
      </x:c>
      <x:c r="R19" s="18" t="str">
        <x:f t="shared" si="8">IF(OR(F19="",J19="",F19="NA",J19="NA"),"",ROUND(IF(F19&gt;J19,F19-J19,0),-1))</x:f>
      </x:c>
      <x:c r="S19" s="17"/>
      <x:c r="T19" s="18" t="str">
        <x:f t="shared" si="9"/>
        <x:v>No Action</x:v>
      </x:c>
      <x:c r="U19" s="19"/>
    </x:row>
    <x:row r="20" ht="15.75" customHeight="1">
      <x:c r="A20" s="13"/>
      <x:c r="B20" s="14"/>
      <x:c r="C20" s="15"/>
      <x:c r="D20" s="15"/>
      <x:c r="E20" s="15"/>
      <x:c r="F20" s="16"/>
      <x:c r="G20" s="16"/>
      <x:c r="H20" s="16"/>
      <x:c r="I20" s="17"/>
      <x:c r="J20" s="17"/>
      <x:c r="K20" s="18" t="str">
        <x:f t="shared" si="1">IF(OR(C20="",E20="",C20="NA",E20="NA"),"",ROUND(C20-E20,-1))</x:f>
      </x:c>
      <x:c r="L20" s="18" t="str">
        <x:f t="shared" si="2">IF(OR(D20="",F20="",D20="NA",F20="NA"),"",ROUND(D20-F20,-1))</x:f>
      </x:c>
      <x:c r="M20" s="18" t="str">
        <x:f t="shared" si="3">IF(OR(C20="",G20="",C20="NA",G20="NA"),"",ROUND(C20-G20,-1))</x:f>
      </x:c>
      <x:c r="N20" s="18" t="str">
        <x:f t="shared" si="4">IF(OR(D20="",H20="",D20="NA",H20="NA"),"",ROUND(D20-H20,-1))</x:f>
      </x:c>
      <x:c r="O20" s="18" t="str">
        <x:f t="shared" si="5">IF(OR(E20="",G20="",E20="NA",G20="NA"),"",ROUND(E20-G20,-1))</x:f>
      </x:c>
      <x:c r="P20" s="18" t="str">
        <x:f t="shared" si="6">IF(OR(F20="",H20="",F20="NA",H20="NA"),"",ROUND(F20-H20,-1))</x:f>
      </x:c>
      <x:c r="Q20" s="18" t="str">
        <x:f t="shared" si="7">IF(OR(E20="",I20="",E20="NA",I20="NA"),"",ROUND(IF(E20&gt;I20,E20-I20,0),-1))</x:f>
      </x:c>
      <x:c r="R20" s="18" t="str">
        <x:f t="shared" si="8">IF(OR(F20="",J20="",F20="NA",J20="NA"),"",ROUND(IF(F20&gt;J20,F20-J20,0),-1))</x:f>
      </x:c>
      <x:c r="S20" s="17"/>
      <x:c r="T20" s="18" t="str">
        <x:f t="shared" si="9"/>
        <x:v>No Action</x:v>
      </x:c>
      <x:c r="U20" s="19"/>
    </x:row>
    <x:row r="21" ht="15.75" customHeight="1">
      <x:c r="A21" s="13"/>
      <x:c r="B21" s="14"/>
      <x:c r="C21" s="15"/>
      <x:c r="D21" s="15"/>
      <x:c r="E21" s="15"/>
      <x:c r="F21" s="16"/>
      <x:c r="G21" s="16"/>
      <x:c r="H21" s="16"/>
      <x:c r="I21" s="17"/>
      <x:c r="J21" s="17"/>
      <x:c r="K21" s="18" t="str">
        <x:f t="shared" si="1">IF(OR(C21="",E21="",C21="NA",E21="NA"),"",ROUND(C21-E21,-1))</x:f>
      </x:c>
      <x:c r="L21" s="18" t="str">
        <x:f t="shared" si="2">IF(OR(D21="",F21="",D21="NA",F21="NA"),"",ROUND(D21-F21,-1))</x:f>
      </x:c>
      <x:c r="M21" s="18" t="str">
        <x:f t="shared" si="3">IF(OR(C21="",G21="",C21="NA",G21="NA"),"",ROUND(C21-G21,-1))</x:f>
      </x:c>
      <x:c r="N21" s="18" t="str">
        <x:f t="shared" si="4">IF(OR(D21="",H21="",D21="NA",H21="NA"),"",ROUND(D21-H21,-1))</x:f>
      </x:c>
      <x:c r="O21" s="18" t="str">
        <x:f t="shared" si="5">IF(OR(E21="",G21="",E21="NA",G21="NA"),"",ROUND(E21-G21,-1))</x:f>
      </x:c>
      <x:c r="P21" s="18" t="str">
        <x:f t="shared" si="6">IF(OR(F21="",H21="",F21="NA",H21="NA"),"",ROUND(F21-H21,-1))</x:f>
      </x:c>
      <x:c r="Q21" s="18" t="str">
        <x:f t="shared" si="7">IF(OR(E21="",I21="",E21="NA",I21="NA"),"",ROUND(IF(E21&gt;I21,E21-I21,0),-1))</x:f>
      </x:c>
      <x:c r="R21" s="18" t="str">
        <x:f t="shared" si="8">IF(OR(F21="",J21="",F21="NA",J21="NA"),"",ROUND(IF(F21&gt;J21,F21-J21,0),-1))</x:f>
      </x:c>
      <x:c r="S21" s="17"/>
      <x:c r="T21" s="18" t="str">
        <x:f t="shared" si="9"/>
        <x:v>No Action</x:v>
      </x:c>
      <x:c r="U21" s="19"/>
    </x:row>
    <x:row r="22" ht="15.75" customHeight="1">
      <x:c r="A22" s="13"/>
      <x:c r="B22" s="14"/>
      <x:c r="C22" s="15"/>
      <x:c r="D22" s="15"/>
      <x:c r="E22" s="15"/>
      <x:c r="F22" s="16"/>
      <x:c r="G22" s="16"/>
      <x:c r="H22" s="16"/>
      <x:c r="I22" s="17"/>
      <x:c r="J22" s="17"/>
      <x:c r="K22" s="18" t="str">
        <x:f t="shared" si="1">IF(OR(C22="",E22="",C22="NA",E22="NA"),"",ROUND(C22-E22,-1))</x:f>
      </x:c>
      <x:c r="L22" s="18" t="str">
        <x:f t="shared" si="2">IF(OR(D22="",F22="",D22="NA",F22="NA"),"",ROUND(D22-F22,-1))</x:f>
      </x:c>
      <x:c r="M22" s="18" t="str">
        <x:f t="shared" si="3">IF(OR(C22="",G22="",C22="NA",G22="NA"),"",ROUND(C22-G22,-1))</x:f>
      </x:c>
      <x:c r="N22" s="18" t="str">
        <x:f t="shared" si="4">IF(OR(D22="",H22="",D22="NA",H22="NA"),"",ROUND(D22-H22,-1))</x:f>
      </x:c>
      <x:c r="O22" s="18" t="str">
        <x:f t="shared" si="5">IF(OR(E22="",G22="",E22="NA",G22="NA"),"",ROUND(E22-G22,-1))</x:f>
      </x:c>
      <x:c r="P22" s="18" t="str">
        <x:f t="shared" si="6">IF(OR(F22="",H22="",F22="NA",H22="NA"),"",ROUND(F22-H22,-1))</x:f>
      </x:c>
      <x:c r="Q22" s="18" t="str">
        <x:f t="shared" si="7">IF(OR(E22="",I22="",E22="NA",I22="NA"),"",ROUND(IF(E22&gt;I22,E22-I22,0),-1))</x:f>
      </x:c>
      <x:c r="R22" s="18" t="str">
        <x:f t="shared" si="8">IF(OR(F22="",J22="",F22="NA",J22="NA"),"",ROUND(IF(F22&gt;J22,F22-J22,0),-1))</x:f>
      </x:c>
      <x:c r="S22" s="17"/>
      <x:c r="T22" s="18" t="str">
        <x:f t="shared" si="9"/>
        <x:v>No Action</x:v>
      </x:c>
      <x:c r="U22" s="19"/>
    </x:row>
    <x:row r="23" ht="15.75" customHeight="1">
      <x:c r="A23" s="13"/>
      <x:c r="B23" s="14"/>
      <x:c r="C23" s="15"/>
      <x:c r="D23" s="15"/>
      <x:c r="E23" s="15"/>
      <x:c r="F23" s="16"/>
      <x:c r="G23" s="16"/>
      <x:c r="H23" s="16"/>
      <x:c r="I23" s="17"/>
      <x:c r="J23" s="17"/>
      <x:c r="K23" s="18" t="str">
        <x:f t="shared" si="1">IF(OR(C23="",E23="",C23="NA",E23="NA"),"",ROUND(C23-E23,-1))</x:f>
      </x:c>
      <x:c r="L23" s="18" t="str">
        <x:f t="shared" si="2">IF(OR(D23="",F23="",D23="NA",F23="NA"),"",ROUND(D23-F23,-1))</x:f>
      </x:c>
      <x:c r="M23" s="18" t="str">
        <x:f t="shared" si="3">IF(OR(C23="",G23="",C23="NA",G23="NA"),"",ROUND(C23-G23,-1))</x:f>
      </x:c>
      <x:c r="N23" s="18" t="str">
        <x:f t="shared" si="4">IF(OR(D23="",H23="",D23="NA",H23="NA"),"",ROUND(D23-H23,-1))</x:f>
      </x:c>
      <x:c r="O23" s="18" t="str">
        <x:f t="shared" si="5">IF(OR(E23="",G23="",E23="NA",G23="NA"),"",ROUND(E23-G23,-1))</x:f>
      </x:c>
      <x:c r="P23" s="18" t="str">
        <x:f t="shared" si="6">IF(OR(F23="",H23="",F23="NA",H23="NA"),"",ROUND(F23-H23,-1))</x:f>
      </x:c>
      <x:c r="Q23" s="18" t="str">
        <x:f t="shared" si="7">IF(OR(E23="",I23="",E23="NA",I23="NA"),"",ROUND(IF(E23&gt;I23,E23-I23,0),-1))</x:f>
      </x:c>
      <x:c r="R23" s="18" t="str">
        <x:f t="shared" si="8">IF(OR(F23="",J23="",F23="NA",J23="NA"),"",ROUND(IF(F23&gt;J23,F23-J23,0),-1))</x:f>
      </x:c>
      <x:c r="S23" s="17"/>
      <x:c r="T23" s="18" t="str">
        <x:f t="shared" si="9"/>
        <x:v>No Action</x:v>
      </x:c>
      <x:c r="U23" s="19"/>
    </x:row>
    <x:row r="24" ht="15.75" customHeight="1">
      <x:c r="A24" s="13"/>
      <x:c r="B24" s="14"/>
      <x:c r="C24" s="15"/>
      <x:c r="D24" s="15"/>
      <x:c r="E24" s="15"/>
      <x:c r="F24" s="16"/>
      <x:c r="G24" s="16"/>
      <x:c r="H24" s="16"/>
      <x:c r="I24" s="17"/>
      <x:c r="J24" s="17"/>
      <x:c r="K24" s="18" t="str">
        <x:f t="shared" si="1">IF(OR(C24="",E24="",C24="NA",E24="NA"),"",ROUND(C24-E24,-1))</x:f>
      </x:c>
      <x:c r="L24" s="18" t="str">
        <x:f t="shared" si="2">IF(OR(D24="",F24="",D24="NA",F24="NA"),"",ROUND(D24-F24,-1))</x:f>
      </x:c>
      <x:c r="M24" s="18" t="str">
        <x:f t="shared" si="3">IF(OR(C24="",G24="",C24="NA",G24="NA"),"",ROUND(C24-G24,-1))</x:f>
      </x:c>
      <x:c r="N24" s="18" t="str">
        <x:f t="shared" si="4">IF(OR(D24="",H24="",D24="NA",H24="NA"),"",ROUND(D24-H24,-1))</x:f>
      </x:c>
      <x:c r="O24" s="18" t="str">
        <x:f t="shared" si="5">IF(OR(E24="",G24="",E24="NA",G24="NA"),"",ROUND(E24-G24,-1))</x:f>
      </x:c>
      <x:c r="P24" s="18" t="str">
        <x:f t="shared" si="6">IF(OR(F24="",H24="",F24="NA",H24="NA"),"",ROUND(F24-H24,-1))</x:f>
      </x:c>
      <x:c r="Q24" s="18" t="str">
        <x:f t="shared" si="7">IF(OR(E24="",I24="",E24="NA",I24="NA"),"",ROUND(IF(E24&gt;I24,E24-I24,0),-1))</x:f>
      </x:c>
      <x:c r="R24" s="18" t="str">
        <x:f t="shared" si="8">IF(OR(F24="",J24="",F24="NA",J24="NA"),"",ROUND(IF(F24&gt;J24,F24-J24,0),-1))</x:f>
      </x:c>
      <x:c r="S24" s="17"/>
      <x:c r="T24" s="18" t="str">
        <x:f t="shared" si="9"/>
        <x:v>No Action</x:v>
      </x:c>
      <x:c r="U24" s="19"/>
    </x:row>
    <x:row r="25" ht="15.75" customHeight="1">
      <x:c r="A25" s="13"/>
      <x:c r="B25" s="14"/>
      <x:c r="C25" s="15"/>
      <x:c r="D25" s="15"/>
      <x:c r="E25" s="15"/>
      <x:c r="F25" s="16"/>
      <x:c r="G25" s="16"/>
      <x:c r="H25" s="16"/>
      <x:c r="I25" s="17"/>
      <x:c r="J25" s="17"/>
      <x:c r="K25" s="18" t="str">
        <x:f t="shared" si="1">IF(OR(C25="",E25="",C25="NA",E25="NA"),"",ROUND(C25-E25,-1))</x:f>
      </x:c>
      <x:c r="L25" s="18" t="str">
        <x:f t="shared" si="2">IF(OR(D25="",F25="",D25="NA",F25="NA"),"",ROUND(D25-F25,-1))</x:f>
      </x:c>
      <x:c r="M25" s="18" t="str">
        <x:f t="shared" si="3">IF(OR(C25="",G25="",C25="NA",G25="NA"),"",ROUND(C25-G25,-1))</x:f>
      </x:c>
      <x:c r="N25" s="18" t="str">
        <x:f t="shared" si="4">IF(OR(D25="",H25="",D25="NA",H25="NA"),"",ROUND(D25-H25,-1))</x:f>
      </x:c>
      <x:c r="O25" s="18" t="str">
        <x:f t="shared" si="5">IF(OR(E25="",G25="",E25="NA",G25="NA"),"",ROUND(E25-G25,-1))</x:f>
      </x:c>
      <x:c r="P25" s="18" t="str">
        <x:f t="shared" si="6">IF(OR(F25="",H25="",F25="NA",H25="NA"),"",ROUND(F25-H25,-1))</x:f>
      </x:c>
      <x:c r="Q25" s="18" t="str">
        <x:f t="shared" si="7">IF(OR(E25="",I25="",E25="NA",I25="NA"),"",ROUND(IF(E25&gt;I25,E25-I25,0),-1))</x:f>
      </x:c>
      <x:c r="R25" s="18" t="str">
        <x:f t="shared" si="8">IF(OR(F25="",J25="",F25="NA",J25="NA"),"",ROUND(IF(F25&gt;J25,F25-J25,0),-1))</x:f>
      </x:c>
      <x:c r="S25" s="17"/>
      <x:c r="T25" s="18" t="str">
        <x:f t="shared" si="9"/>
        <x:v>No Action</x:v>
      </x:c>
      <x:c r="U25" s="19"/>
    </x:row>
    <x:row r="26" ht="15.75" customHeight="1">
      <x:c r="A26" s="13"/>
      <x:c r="B26" s="14"/>
      <x:c r="C26" s="15"/>
      <x:c r="D26" s="15"/>
      <x:c r="E26" s="15"/>
      <x:c r="F26" s="16"/>
      <x:c r="G26" s="16"/>
      <x:c r="H26" s="16"/>
      <x:c r="I26" s="17"/>
      <x:c r="J26" s="17"/>
      <x:c r="K26" s="18" t="str">
        <x:f t="shared" si="1">IF(OR(C26="",E26="",C26="NA",E26="NA"),"",ROUND(C26-E26,-1))</x:f>
      </x:c>
      <x:c r="L26" s="18" t="str">
        <x:f t="shared" si="2">IF(OR(D26="",F26="",D26="NA",F26="NA"),"",ROUND(D26-F26,-1))</x:f>
      </x:c>
      <x:c r="M26" s="18" t="str">
        <x:f t="shared" si="3">IF(OR(C26="",G26="",C26="NA",G26="NA"),"",ROUND(C26-G26,-1))</x:f>
      </x:c>
      <x:c r="N26" s="18" t="str">
        <x:f t="shared" si="4">IF(OR(D26="",H26="",D26="NA",H26="NA"),"",ROUND(D26-H26,-1))</x:f>
      </x:c>
      <x:c r="O26" s="18" t="str">
        <x:f t="shared" si="5">IF(OR(E26="",G26="",E26="NA",G26="NA"),"",ROUND(E26-G26,-1))</x:f>
      </x:c>
      <x:c r="P26" s="18" t="str">
        <x:f t="shared" si="6">IF(OR(F26="",H26="",F26="NA",H26="NA"),"",ROUND(F26-H26,-1))</x:f>
      </x:c>
      <x:c r="Q26" s="18" t="str">
        <x:f t="shared" si="7">IF(OR(E26="",I26="",E26="NA",I26="NA"),"",ROUND(IF(E26&gt;I26,E26-I26,0),-1))</x:f>
      </x:c>
      <x:c r="R26" s="18" t="str">
        <x:f t="shared" si="8">IF(OR(F26="",J26="",F26="NA",J26="NA"),"",ROUND(IF(F26&gt;J26,F26-J26,0),-1))</x:f>
      </x:c>
      <x:c r="S26" s="17"/>
      <x:c r="T26" s="18" t="str">
        <x:f t="shared" si="9"/>
        <x:v>No Action</x:v>
      </x:c>
      <x:c r="U26" s="19"/>
    </x:row>
    <x:row r="27" ht="15.75" customHeight="1">
      <x:c r="A27" s="13"/>
      <x:c r="B27" s="14"/>
      <x:c r="C27" s="15"/>
      <x:c r="D27" s="15"/>
      <x:c r="E27" s="15"/>
      <x:c r="F27" s="16"/>
      <x:c r="G27" s="16"/>
      <x:c r="H27" s="16"/>
      <x:c r="I27" s="17"/>
      <x:c r="J27" s="17"/>
      <x:c r="K27" s="18" t="str">
        <x:f t="shared" si="1">IF(OR(C27="",E27="",C27="NA",E27="NA"),"",ROUND(C27-E27,-1))</x:f>
      </x:c>
      <x:c r="L27" s="18" t="str">
        <x:f t="shared" si="2">IF(OR(D27="",F27="",D27="NA",F27="NA"),"",ROUND(D27-F27,-1))</x:f>
      </x:c>
      <x:c r="M27" s="18" t="str">
        <x:f t="shared" si="3">IF(OR(C27="",G27="",C27="NA",G27="NA"),"",ROUND(C27-G27,-1))</x:f>
      </x:c>
      <x:c r="N27" s="18" t="str">
        <x:f t="shared" si="4">IF(OR(D27="",H27="",D27="NA",H27="NA"),"",ROUND(D27-H27,-1))</x:f>
      </x:c>
      <x:c r="O27" s="18" t="str">
        <x:f t="shared" si="5">IF(OR(E27="",G27="",E27="NA",G27="NA"),"",ROUND(E27-G27,-1))</x:f>
      </x:c>
      <x:c r="P27" s="18" t="str">
        <x:f t="shared" si="6">IF(OR(F27="",H27="",F27="NA",H27="NA"),"",ROUND(F27-H27,-1))</x:f>
      </x:c>
      <x:c r="Q27" s="18" t="str">
        <x:f t="shared" si="7">IF(OR(E27="",I27="",E27="NA",I27="NA"),"",ROUND(IF(E27&gt;I27,E27-I27,0),-1))</x:f>
      </x:c>
      <x:c r="R27" s="18" t="str">
        <x:f t="shared" si="8">IF(OR(F27="",J27="",F27="NA",J27="NA"),"",ROUND(IF(F27&gt;J27,F27-J27,0),-1))</x:f>
      </x:c>
      <x:c r="S27" s="17"/>
      <x:c r="T27" s="18" t="str">
        <x:f t="shared" si="9"/>
        <x:v>No Action</x:v>
      </x:c>
      <x:c r="U27" s="19"/>
    </x:row>
    <x:row r="28" ht="15.75" customHeight="1">
      <x:c r="A28" s="13"/>
      <x:c r="B28" s="14"/>
      <x:c r="C28" s="15"/>
      <x:c r="D28" s="15"/>
      <x:c r="E28" s="15"/>
      <x:c r="F28" s="16"/>
      <x:c r="G28" s="16"/>
      <x:c r="H28" s="16"/>
      <x:c r="I28" s="17"/>
      <x:c r="J28" s="17"/>
      <x:c r="K28" s="18" t="str">
        <x:f t="shared" si="1">IF(OR(C28="",E28="",C28="NA",E28="NA"),"",ROUND(C28-E28,-1))</x:f>
      </x:c>
      <x:c r="L28" s="18" t="str">
        <x:f t="shared" si="2">IF(OR(D28="",F28="",D28="NA",F28="NA"),"",ROUND(D28-F28,-1))</x:f>
      </x:c>
      <x:c r="M28" s="18" t="str">
        <x:f t="shared" si="3">IF(OR(C28="",G28="",C28="NA",G28="NA"),"",ROUND(C28-G28,-1))</x:f>
      </x:c>
      <x:c r="N28" s="18" t="str">
        <x:f t="shared" si="4">IF(OR(D28="",H28="",D28="NA",H28="NA"),"",ROUND(D28-H28,-1))</x:f>
      </x:c>
      <x:c r="O28" s="18" t="str">
        <x:f t="shared" si="5">IF(OR(E28="",G28="",E28="NA",G28="NA"),"",ROUND(E28-G28,-1))</x:f>
      </x:c>
      <x:c r="P28" s="18" t="str">
        <x:f t="shared" si="6">IF(OR(F28="",H28="",F28="NA",H28="NA"),"",ROUND(F28-H28,-1))</x:f>
      </x:c>
      <x:c r="Q28" s="18" t="str">
        <x:f t="shared" si="7">IF(OR(E28="",I28="",E28="NA",I28="NA"),"",ROUND(IF(E28&gt;I28,E28-I28,0),-1))</x:f>
      </x:c>
      <x:c r="R28" s="18" t="str">
        <x:f t="shared" si="8">IF(OR(F28="",J28="",F28="NA",J28="NA"),"",ROUND(IF(F28&gt;J28,F28-J28,0),-1))</x:f>
      </x:c>
      <x:c r="S28" s="17"/>
      <x:c r="T28" s="18" t="str">
        <x:f t="shared" si="9"/>
        <x:v>No Action</x:v>
      </x:c>
      <x:c r="U28" s="19"/>
    </x:row>
    <x:row r="29" ht="15.75" customHeight="1">
      <x:c r="A29" s="13"/>
      <x:c r="B29" s="14"/>
      <x:c r="C29" s="15"/>
      <x:c r="D29" s="15"/>
      <x:c r="E29" s="15"/>
      <x:c r="F29" s="16"/>
      <x:c r="G29" s="16"/>
      <x:c r="H29" s="16"/>
      <x:c r="I29" s="17"/>
      <x:c r="J29" s="17"/>
      <x:c r="K29" s="18" t="str">
        <x:f t="shared" si="1">IF(OR(C29="",E29="",C29="NA",E29="NA"),"",ROUND(C29-E29,-1))</x:f>
      </x:c>
      <x:c r="L29" s="18" t="str">
        <x:f t="shared" si="2">IF(OR(D29="",F29="",D29="NA",F29="NA"),"",ROUND(D29-F29,-1))</x:f>
      </x:c>
      <x:c r="M29" s="18" t="str">
        <x:f t="shared" si="3">IF(OR(C29="",G29="",C29="NA",G29="NA"),"",ROUND(C29-G29,-1))</x:f>
      </x:c>
      <x:c r="N29" s="18" t="str">
        <x:f t="shared" si="4">IF(OR(D29="",H29="",D29="NA",H29="NA"),"",ROUND(D29-H29,-1))</x:f>
      </x:c>
      <x:c r="O29" s="18" t="str">
        <x:f t="shared" si="5">IF(OR(E29="",G29="",E29="NA",G29="NA"),"",ROUND(E29-G29,-1))</x:f>
      </x:c>
      <x:c r="P29" s="18" t="str">
        <x:f t="shared" si="6">IF(OR(F29="",H29="",F29="NA",H29="NA"),"",ROUND(F29-H29,-1))</x:f>
      </x:c>
      <x:c r="Q29" s="18" t="str">
        <x:f t="shared" si="7">IF(OR(E29="",I29="",E29="NA",I29="NA"),"",ROUND(IF(E29&gt;I29,E29-I29,0),-1))</x:f>
      </x:c>
      <x:c r="R29" s="18" t="str">
        <x:f t="shared" si="8">IF(OR(F29="",J29="",F29="NA",J29="NA"),"",ROUND(IF(F29&gt;J29,F29-J29,0),-1))</x:f>
      </x:c>
      <x:c r="S29" s="17"/>
      <x:c r="T29" s="18" t="str">
        <x:f t="shared" si="9"/>
        <x:v>No Action</x:v>
      </x:c>
      <x:c r="U29" s="19"/>
    </x:row>
    <x:row r="30" ht="15.75" customHeight="1">
      <x:c r="A30" s="13"/>
      <x:c r="B30" s="14"/>
      <x:c r="C30" s="15"/>
      <x:c r="D30" s="15"/>
      <x:c r="E30" s="15"/>
      <x:c r="F30" s="16"/>
      <x:c r="G30" s="16"/>
      <x:c r="H30" s="16"/>
      <x:c r="I30" s="17"/>
      <x:c r="J30" s="17"/>
      <x:c r="K30" s="18" t="str">
        <x:f t="shared" si="1">IF(OR(C30="",E30="",C30="NA",E30="NA"),"",ROUND(C30-E30,-1))</x:f>
      </x:c>
      <x:c r="L30" s="18" t="str">
        <x:f t="shared" si="2">IF(OR(D30="",F30="",D30="NA",F30="NA"),"",ROUND(D30-F30,-1))</x:f>
      </x:c>
      <x:c r="M30" s="18" t="str">
        <x:f t="shared" si="3">IF(OR(C30="",G30="",C30="NA",G30="NA"),"",ROUND(C30-G30,-1))</x:f>
      </x:c>
      <x:c r="N30" s="18" t="str">
        <x:f t="shared" si="4">IF(OR(D30="",H30="",D30="NA",H30="NA"),"",ROUND(D30-H30,-1))</x:f>
      </x:c>
      <x:c r="O30" s="18" t="str">
        <x:f t="shared" si="5">IF(OR(E30="",G30="",E30="NA",G30="NA"),"",ROUND(E30-G30,-1))</x:f>
      </x:c>
      <x:c r="P30" s="18" t="str">
        <x:f t="shared" si="6">IF(OR(F30="",H30="",F30="NA",H30="NA"),"",ROUND(F30-H30,-1))</x:f>
      </x:c>
      <x:c r="Q30" s="18" t="str">
        <x:f t="shared" si="7">IF(OR(E30="",I30="",E30="NA",I30="NA"),"",ROUND(IF(E30&gt;I30,E30-I30,0),-1))</x:f>
      </x:c>
      <x:c r="R30" s="18" t="str">
        <x:f t="shared" si="8">IF(OR(F30="",J30="",F30="NA",J30="NA"),"",ROUND(IF(F30&gt;J30,F30-J30,0),-1))</x:f>
      </x:c>
      <x:c r="S30" s="17"/>
      <x:c r="T30" s="18" t="str">
        <x:f t="shared" si="9"/>
        <x:v>No Action</x:v>
      </x:c>
      <x:c r="U30" s="19"/>
    </x:row>
    <x:row r="31" ht="15.75" customHeight="1">
      <x:c r="A31" s="13"/>
      <x:c r="B31" s="14"/>
      <x:c r="C31" s="15"/>
      <x:c r="D31" s="15"/>
      <x:c r="E31" s="15"/>
      <x:c r="F31" s="16"/>
      <x:c r="G31" s="16"/>
      <x:c r="H31" s="16"/>
      <x:c r="I31" s="17"/>
      <x:c r="J31" s="17"/>
      <x:c r="K31" s="18" t="str">
        <x:f t="shared" si="1">IF(OR(C31="",E31="",C31="NA",E31="NA"),"",ROUND(C31-E31,-1))</x:f>
      </x:c>
      <x:c r="L31" s="18" t="str">
        <x:f t="shared" si="2">IF(OR(D31="",F31="",D31="NA",F31="NA"),"",ROUND(D31-F31,-1))</x:f>
      </x:c>
      <x:c r="M31" s="18" t="str">
        <x:f t="shared" si="3">IF(OR(C31="",G31="",C31="NA",G31="NA"),"",ROUND(C31-G31,-1))</x:f>
      </x:c>
      <x:c r="N31" s="18" t="str">
        <x:f t="shared" si="4">IF(OR(D31="",H31="",D31="NA",H31="NA"),"",ROUND(D31-H31,-1))</x:f>
      </x:c>
      <x:c r="O31" s="18" t="str">
        <x:f t="shared" si="5">IF(OR(E31="",G31="",E31="NA",G31="NA"),"",ROUND(E31-G31,-1))</x:f>
      </x:c>
      <x:c r="P31" s="18" t="str">
        <x:f t="shared" si="6">IF(OR(F31="",H31="",F31="NA",H31="NA"),"",ROUND(F31-H31,-1))</x:f>
      </x:c>
      <x:c r="Q31" s="18" t="str">
        <x:f t="shared" si="7">IF(OR(E31="",I31="",E31="NA",I31="NA"),"",ROUND(IF(E31&gt;I31,E31-I31,0),-1))</x:f>
      </x:c>
      <x:c r="R31" s="18" t="str">
        <x:f t="shared" si="8">IF(OR(F31="",J31="",F31="NA",J31="NA"),"",ROUND(IF(F31&gt;J31,F31-J31,0),-1))</x:f>
      </x:c>
      <x:c r="S31" s="17"/>
      <x:c r="T31" s="18" t="str">
        <x:f t="shared" si="9"/>
        <x:v>No Action</x:v>
      </x:c>
      <x:c r="U31" s="19"/>
    </x:row>
    <x:row r="32" ht="15.75" customHeight="1">
      <x:c r="A32" s="13"/>
      <x:c r="B32" s="14"/>
      <x:c r="C32" s="15"/>
      <x:c r="D32" s="15"/>
      <x:c r="E32" s="15"/>
      <x:c r="F32" s="16"/>
      <x:c r="G32" s="16"/>
      <x:c r="H32" s="16"/>
      <x:c r="I32" s="17"/>
      <x:c r="J32" s="17"/>
      <x:c r="K32" s="18" t="str">
        <x:f t="shared" si="1">IF(OR(C32="",E32="",C32="NA",E32="NA"),"",ROUND(C32-E32,-1))</x:f>
      </x:c>
      <x:c r="L32" s="18" t="str">
        <x:f t="shared" si="2">IF(OR(D32="",F32="",D32="NA",F32="NA"),"",ROUND(D32-F32,-1))</x:f>
      </x:c>
      <x:c r="M32" s="18" t="str">
        <x:f t="shared" si="3">IF(OR(C32="",G32="",C32="NA",G32="NA"),"",ROUND(C32-G32,-1))</x:f>
      </x:c>
      <x:c r="N32" s="18" t="str">
        <x:f t="shared" si="4">IF(OR(D32="",H32="",D32="NA",H32="NA"),"",ROUND(D32-H32,-1))</x:f>
      </x:c>
      <x:c r="O32" s="18" t="str">
        <x:f t="shared" si="5">IF(OR(E32="",G32="",E32="NA",G32="NA"),"",ROUND(E32-G32,-1))</x:f>
      </x:c>
      <x:c r="P32" s="18" t="str">
        <x:f t="shared" si="6">IF(OR(F32="",H32="",F32="NA",H32="NA"),"",ROUND(F32-H32,-1))</x:f>
      </x:c>
      <x:c r="Q32" s="18" t="str">
        <x:f t="shared" si="7">IF(OR(E32="",I32="",E32="NA",I32="NA"),"",ROUND(IF(E32&gt;I32,E32-I32,0),-1))</x:f>
      </x:c>
      <x:c r="R32" s="18" t="str">
        <x:f t="shared" si="8">IF(OR(F32="",J32="",F32="NA",J32="NA"),"",ROUND(IF(F32&gt;J32,F32-J32,0),-1))</x:f>
      </x:c>
      <x:c r="S32" s="17"/>
      <x:c r="T32" s="18" t="str">
        <x:f t="shared" si="9"/>
        <x:v>No Action</x:v>
      </x:c>
      <x:c r="U32" s="19"/>
    </x:row>
    <x:row r="33" ht="15.75" customHeight="1">
      <x:c r="A33" s="13"/>
      <x:c r="B33" s="14"/>
      <x:c r="C33" s="15"/>
      <x:c r="D33" s="15"/>
      <x:c r="E33" s="15"/>
      <x:c r="F33" s="16"/>
      <x:c r="G33" s="16"/>
      <x:c r="H33" s="16"/>
      <x:c r="I33" s="17"/>
      <x:c r="J33" s="17"/>
      <x:c r="K33" s="18" t="str">
        <x:f t="shared" si="1">IF(OR(C33="",E33="",C33="NA",E33="NA"),"",ROUND(C33-E33,-1))</x:f>
      </x:c>
      <x:c r="L33" s="18" t="str">
        <x:f t="shared" si="2">IF(OR(D33="",F33="",D33="NA",F33="NA"),"",ROUND(D33-F33,-1))</x:f>
      </x:c>
      <x:c r="M33" s="18" t="str">
        <x:f t="shared" si="3">IF(OR(C33="",G33="",C33="NA",G33="NA"),"",ROUND(C33-G33,-1))</x:f>
      </x:c>
      <x:c r="N33" s="18" t="str">
        <x:f t="shared" si="4">IF(OR(D33="",H33="",D33="NA",H33="NA"),"",ROUND(D33-H33,-1))</x:f>
      </x:c>
      <x:c r="O33" s="18" t="str">
        <x:f t="shared" si="5">IF(OR(E33="",G33="",E33="NA",G33="NA"),"",ROUND(E33-G33,-1))</x:f>
      </x:c>
      <x:c r="P33" s="18" t="str">
        <x:f t="shared" si="6">IF(OR(F33="",H33="",F33="NA",H33="NA"),"",ROUND(F33-H33,-1))</x:f>
      </x:c>
      <x:c r="Q33" s="18" t="str">
        <x:f t="shared" si="7">IF(OR(E33="",I33="",E33="NA",I33="NA"),"",ROUND(IF(E33&gt;I33,E33-I33,0),-1))</x:f>
      </x:c>
      <x:c r="R33" s="18" t="str">
        <x:f t="shared" si="8">IF(OR(F33="",J33="",F33="NA",J33="NA"),"",ROUND(IF(F33&gt;J33,F33-J33,0),-1))</x:f>
      </x:c>
      <x:c r="S33" s="17"/>
      <x:c r="T33" s="18" t="str">
        <x:f t="shared" si="9"/>
        <x:v>No Action</x:v>
      </x:c>
      <x:c r="U33" s="19"/>
    </x:row>
    <x:row r="34" ht="15.75" customHeight="1">
      <x:c r="A34" s="13"/>
      <x:c r="B34" s="14"/>
      <x:c r="C34" s="15"/>
      <x:c r="D34" s="15"/>
      <x:c r="E34" s="15"/>
      <x:c r="F34" s="16"/>
      <x:c r="G34" s="16"/>
      <x:c r="H34" s="16"/>
      <x:c r="I34" s="17"/>
      <x:c r="J34" s="17"/>
      <x:c r="K34" s="18" t="str">
        <x:f t="shared" si="1">IF(OR(C34="",E34="",C34="NA",E34="NA"),"",ROUND(C34-E34,-1))</x:f>
      </x:c>
      <x:c r="L34" s="18" t="str">
        <x:f t="shared" si="2">IF(OR(D34="",F34="",D34="NA",F34="NA"),"",ROUND(D34-F34,-1))</x:f>
      </x:c>
      <x:c r="M34" s="18" t="str">
        <x:f t="shared" si="3">IF(OR(C34="",G34="",C34="NA",G34="NA"),"",ROUND(C34-G34,-1))</x:f>
      </x:c>
      <x:c r="N34" s="18" t="str">
        <x:f t="shared" si="4">IF(OR(D34="",H34="",D34="NA",H34="NA"),"",ROUND(D34-H34,-1))</x:f>
      </x:c>
      <x:c r="O34" s="18" t="str">
        <x:f t="shared" si="5">IF(OR(E34="",G34="",E34="NA",G34="NA"),"",ROUND(E34-G34,-1))</x:f>
      </x:c>
      <x:c r="P34" s="18" t="str">
        <x:f t="shared" si="6">IF(OR(F34="",H34="",F34="NA",H34="NA"),"",ROUND(F34-H34,-1))</x:f>
      </x:c>
      <x:c r="Q34" s="18" t="str">
        <x:f t="shared" si="7">IF(OR(E34="",I34="",E34="NA",I34="NA"),"",ROUND(IF(E34&gt;I34,E34-I34,0),-1))</x:f>
      </x:c>
      <x:c r="R34" s="18" t="str">
        <x:f t="shared" si="8">IF(OR(F34="",J34="",F34="NA",J34="NA"),"",ROUND(IF(F34&gt;J34,F34-J34,0),-1))</x:f>
      </x:c>
      <x:c r="S34" s="17"/>
      <x:c r="T34" s="18" t="str">
        <x:f t="shared" si="9"/>
        <x:v>No Action</x:v>
      </x:c>
      <x:c r="U34" s="19"/>
    </x:row>
    <x:row r="35" ht="15.75" customHeight="1">
      <x:c r="A35" s="13"/>
      <x:c r="B35" s="14"/>
      <x:c r="C35" s="15"/>
      <x:c r="D35" s="15"/>
      <x:c r="E35" s="15"/>
      <x:c r="F35" s="16"/>
      <x:c r="G35" s="16"/>
      <x:c r="H35" s="16"/>
      <x:c r="I35" s="17"/>
      <x:c r="J35" s="17"/>
      <x:c r="K35" s="18" t="str">
        <x:f t="shared" si="1">IF(OR(C35="",E35="",C35="NA",E35="NA"),"",ROUND(C35-E35,-1))</x:f>
      </x:c>
      <x:c r="L35" s="18" t="str">
        <x:f t="shared" si="2">IF(OR(D35="",F35="",D35="NA",F35="NA"),"",ROUND(D35-F35,-1))</x:f>
      </x:c>
      <x:c r="M35" s="18" t="str">
        <x:f t="shared" si="3">IF(OR(C35="",G35="",C35="NA",G35="NA"),"",ROUND(C35-G35,-1))</x:f>
      </x:c>
      <x:c r="N35" s="18" t="str">
        <x:f t="shared" si="4">IF(OR(D35="",H35="",D35="NA",H35="NA"),"",ROUND(D35-H35,-1))</x:f>
      </x:c>
      <x:c r="O35" s="18" t="str">
        <x:f t="shared" si="5">IF(OR(E35="",G35="",E35="NA",G35="NA"),"",ROUND(E35-G35,-1))</x:f>
      </x:c>
      <x:c r="P35" s="18" t="str">
        <x:f t="shared" si="6">IF(OR(F35="",H35="",F35="NA",H35="NA"),"",ROUND(F35-H35,-1))</x:f>
      </x:c>
      <x:c r="Q35" s="18" t="str">
        <x:f t="shared" si="7">IF(OR(E35="",I35="",E35="NA",I35="NA"),"",ROUND(IF(E35&gt;I35,E35-I35,0),-1))</x:f>
      </x:c>
      <x:c r="R35" s="18" t="str">
        <x:f t="shared" si="8">IF(OR(F35="",J35="",F35="NA",J35="NA"),"",ROUND(IF(F35&gt;J35,F35-J35,0),-1))</x:f>
      </x:c>
      <x:c r="S35" s="17"/>
      <x:c r="T35" s="18" t="str">
        <x:f t="shared" si="9"/>
        <x:v>No Action</x:v>
      </x:c>
      <x:c r="U35" s="19"/>
    </x:row>
    <x:row r="36" ht="15.75" customHeight="1">
      <x:c r="A36" s="13"/>
      <x:c r="B36" s="14"/>
      <x:c r="C36" s="15"/>
      <x:c r="D36" s="15"/>
      <x:c r="E36" s="15"/>
      <x:c r="F36" s="16"/>
      <x:c r="G36" s="16"/>
      <x:c r="H36" s="16"/>
      <x:c r="I36" s="17"/>
      <x:c r="J36" s="17"/>
      <x:c r="K36" s="18" t="str">
        <x:f t="shared" si="1">IF(OR(C36="",E36="",C36="NA",E36="NA"),"",ROUND(C36-E36,-1))</x:f>
      </x:c>
      <x:c r="L36" s="18" t="str">
        <x:f t="shared" si="2">IF(OR(D36="",F36="",D36="NA",F36="NA"),"",ROUND(D36-F36,-1))</x:f>
      </x:c>
      <x:c r="M36" s="18" t="str">
        <x:f t="shared" si="3">IF(OR(C36="",G36="",C36="NA",G36="NA"),"",ROUND(C36-G36,-1))</x:f>
      </x:c>
      <x:c r="N36" s="18" t="str">
        <x:f t="shared" si="4">IF(OR(D36="",H36="",D36="NA",H36="NA"),"",ROUND(D36-H36,-1))</x:f>
      </x:c>
      <x:c r="O36" s="18" t="str">
        <x:f t="shared" si="5">IF(OR(E36="",G36="",E36="NA",G36="NA"),"",ROUND(E36-G36,-1))</x:f>
      </x:c>
      <x:c r="P36" s="18" t="str">
        <x:f t="shared" si="6">IF(OR(F36="",H36="",F36="NA",H36="NA"),"",ROUND(F36-H36,-1))</x:f>
      </x:c>
      <x:c r="Q36" s="18" t="str">
        <x:f t="shared" si="7">IF(OR(E36="",I36="",E36="NA",I36="NA"),"",ROUND(IF(E36&gt;I36,E36-I36,0),-1))</x:f>
      </x:c>
      <x:c r="R36" s="18" t="str">
        <x:f t="shared" si="8">IF(OR(F36="",J36="",F36="NA",J36="NA"),"",ROUND(IF(F36&gt;J36,F36-J36,0),-1))</x:f>
      </x:c>
      <x:c r="S36" s="17"/>
      <x:c r="T36" s="18" t="str">
        <x:f t="shared" si="9"/>
        <x:v>No Action</x:v>
      </x:c>
      <x:c r="U36" s="19"/>
    </x:row>
    <x:row r="37" ht="15.75" customHeight="1">
      <x:c r="A37" s="13"/>
      <x:c r="B37" s="14"/>
      <x:c r="C37" s="15"/>
      <x:c r="D37" s="15"/>
      <x:c r="E37" s="15"/>
      <x:c r="F37" s="16"/>
      <x:c r="G37" s="16"/>
      <x:c r="H37" s="16"/>
      <x:c r="I37" s="17"/>
      <x:c r="J37" s="17"/>
      <x:c r="K37" s="18" t="str">
        <x:f t="shared" si="1">IF(OR(C37="",E37="",C37="NA",E37="NA"),"",ROUND(C37-E37,-1))</x:f>
      </x:c>
      <x:c r="L37" s="18" t="str">
        <x:f t="shared" si="2">IF(OR(D37="",F37="",D37="NA",F37="NA"),"",ROUND(D37-F37,-1))</x:f>
      </x:c>
      <x:c r="M37" s="18" t="str">
        <x:f t="shared" si="3">IF(OR(C37="",G37="",C37="NA",G37="NA"),"",ROUND(C37-G37,-1))</x:f>
      </x:c>
      <x:c r="N37" s="18" t="str">
        <x:f t="shared" si="4">IF(OR(D37="",H37="",D37="NA",H37="NA"),"",ROUND(D37-H37,-1))</x:f>
      </x:c>
      <x:c r="O37" s="18" t="str">
        <x:f t="shared" si="5">IF(OR(E37="",G37="",E37="NA",G37="NA"),"",ROUND(E37-G37,-1))</x:f>
      </x:c>
      <x:c r="P37" s="18" t="str">
        <x:f t="shared" si="6">IF(OR(F37="",H37="",F37="NA",H37="NA"),"",ROUND(F37-H37,-1))</x:f>
      </x:c>
      <x:c r="Q37" s="18" t="str">
        <x:f t="shared" si="7">IF(OR(E37="",I37="",E37="NA",I37="NA"),"",ROUND(IF(E37&gt;I37,E37-I37,0),-1))</x:f>
      </x:c>
      <x:c r="R37" s="18" t="str">
        <x:f t="shared" si="8">IF(OR(F37="",J37="",F37="NA",J37="NA"),"",ROUND(IF(F37&gt;J37,F37-J37,0),-1))</x:f>
      </x:c>
      <x:c r="S37" s="17"/>
      <x:c r="T37" s="18" t="str">
        <x:f t="shared" si="9"/>
        <x:v>No Action</x:v>
      </x:c>
      <x:c r="U37" s="19"/>
    </x:row>
    <x:row r="38" ht="15.75" customHeight="1">
      <x:c r="A38" s="13"/>
      <x:c r="B38" s="14"/>
      <x:c r="C38" s="15"/>
      <x:c r="D38" s="15"/>
      <x:c r="E38" s="15"/>
      <x:c r="F38" s="16"/>
      <x:c r="G38" s="16"/>
      <x:c r="H38" s="16"/>
      <x:c r="I38" s="17"/>
      <x:c r="J38" s="17"/>
      <x:c r="K38" s="18" t="str">
        <x:f t="shared" si="1">IF(OR(C38="",E38="",C38="NA",E38="NA"),"",ROUND(C38-E38,-1))</x:f>
      </x:c>
      <x:c r="L38" s="18" t="str">
        <x:f t="shared" si="2">IF(OR(D38="",F38="",D38="NA",F38="NA"),"",ROUND(D38-F38,-1))</x:f>
      </x:c>
      <x:c r="M38" s="18" t="str">
        <x:f t="shared" si="3">IF(OR(C38="",G38="",C38="NA",G38="NA"),"",ROUND(C38-G38,-1))</x:f>
      </x:c>
      <x:c r="N38" s="18" t="str">
        <x:f t="shared" si="4">IF(OR(D38="",H38="",D38="NA",H38="NA"),"",ROUND(D38-H38,-1))</x:f>
      </x:c>
      <x:c r="O38" s="18" t="str">
        <x:f t="shared" si="5">IF(OR(E38="",G38="",E38="NA",G38="NA"),"",ROUND(E38-G38,-1))</x:f>
      </x:c>
      <x:c r="P38" s="18" t="str">
        <x:f t="shared" si="6">IF(OR(F38="",H38="",F38="NA",H38="NA"),"",ROUND(F38-H38,-1))</x:f>
      </x:c>
      <x:c r="Q38" s="18" t="str">
        <x:f t="shared" si="7">IF(OR(E38="",I38="",E38="NA",I38="NA"),"",ROUND(IF(E38&gt;I38,E38-I38,0),-1))</x:f>
      </x:c>
      <x:c r="R38" s="18" t="str">
        <x:f t="shared" si="8">IF(OR(F38="",J38="",F38="NA",J38="NA"),"",ROUND(IF(F38&gt;J38,F38-J38,0),-1))</x:f>
      </x:c>
      <x:c r="S38" s="17"/>
      <x:c r="T38" s="18" t="str">
        <x:f t="shared" si="9"/>
        <x:v>No Action</x:v>
      </x:c>
      <x:c r="U38" s="19"/>
    </x:row>
    <x:row r="39" ht="15.75" customHeight="1">
      <x:c r="A39" s="13"/>
      <x:c r="B39" s="14"/>
      <x:c r="C39" s="15"/>
      <x:c r="D39" s="15"/>
      <x:c r="E39" s="15"/>
      <x:c r="F39" s="16"/>
      <x:c r="G39" s="16"/>
      <x:c r="H39" s="16"/>
      <x:c r="I39" s="17"/>
      <x:c r="J39" s="17"/>
      <x:c r="K39" s="18" t="str">
        <x:f t="shared" si="1">IF(OR(C39="",E39="",C39="NA",E39="NA"),"",ROUND(C39-E39,-1))</x:f>
      </x:c>
      <x:c r="L39" s="18" t="str">
        <x:f t="shared" si="2">IF(OR(D39="",F39="",D39="NA",F39="NA"),"",ROUND(D39-F39,-1))</x:f>
      </x:c>
      <x:c r="M39" s="18" t="str">
        <x:f t="shared" si="3">IF(OR(C39="",G39="",C39="NA",G39="NA"),"",ROUND(C39-G39,-1))</x:f>
      </x:c>
      <x:c r="N39" s="18" t="str">
        <x:f t="shared" si="4">IF(OR(D39="",H39="",D39="NA",H39="NA"),"",ROUND(D39-H39,-1))</x:f>
      </x:c>
      <x:c r="O39" s="18" t="str">
        <x:f t="shared" si="5">IF(OR(E39="",G39="",E39="NA",G39="NA"),"",ROUND(E39-G39,-1))</x:f>
      </x:c>
      <x:c r="P39" s="18" t="str">
        <x:f t="shared" si="6">IF(OR(F39="",H39="",F39="NA",H39="NA"),"",ROUND(F39-H39,-1))</x:f>
      </x:c>
      <x:c r="Q39" s="18" t="str">
        <x:f t="shared" si="7">IF(OR(E39="",I39="",E39="NA",I39="NA"),"",ROUND(IF(E39&gt;I39,E39-I39,0),-1))</x:f>
      </x:c>
      <x:c r="R39" s="18" t="str">
        <x:f t="shared" si="8">IF(OR(F39="",J39="",F39="NA",J39="NA"),"",ROUND(IF(F39&gt;J39,F39-J39,0),-1))</x:f>
      </x:c>
      <x:c r="S39" s="17"/>
      <x:c r="T39" s="18" t="str">
        <x:f t="shared" si="9"/>
        <x:v>No Action</x:v>
      </x:c>
      <x:c r="U39" s="19"/>
    </x:row>
    <x:row r="40" ht="15.75" customHeight="1">
      <x:c r="A40" s="13"/>
      <x:c r="B40" s="14"/>
      <x:c r="C40" s="15"/>
      <x:c r="D40" s="15"/>
      <x:c r="E40" s="15"/>
      <x:c r="F40" s="16"/>
      <x:c r="G40" s="16"/>
      <x:c r="H40" s="16"/>
      <x:c r="I40" s="17"/>
      <x:c r="J40" s="17"/>
      <x:c r="K40" s="18" t="str">
        <x:f t="shared" si="1">IF(OR(C40="",E40="",C40="NA",E40="NA"),"",ROUND(C40-E40,-1))</x:f>
      </x:c>
      <x:c r="L40" s="18" t="str">
        <x:f t="shared" si="2">IF(OR(D40="",F40="",D40="NA",F40="NA"),"",ROUND(D40-F40,-1))</x:f>
      </x:c>
      <x:c r="M40" s="18" t="str">
        <x:f t="shared" si="3">IF(OR(C40="",G40="",C40="NA",G40="NA"),"",ROUND(C40-G40,-1))</x:f>
      </x:c>
      <x:c r="N40" s="18" t="str">
        <x:f t="shared" si="4">IF(OR(D40="",H40="",D40="NA",H40="NA"),"",ROUND(D40-H40,-1))</x:f>
      </x:c>
      <x:c r="O40" s="18" t="str">
        <x:f t="shared" si="5">IF(OR(E40="",G40="",E40="NA",G40="NA"),"",ROUND(E40-G40,-1))</x:f>
      </x:c>
      <x:c r="P40" s="18" t="str">
        <x:f t="shared" si="6">IF(OR(F40="",H40="",F40="NA",H40="NA"),"",ROUND(F40-H40,-1))</x:f>
      </x:c>
      <x:c r="Q40" s="18" t="str">
        <x:f t="shared" si="7">IF(OR(E40="",I40="",E40="NA",I40="NA"),"",ROUND(IF(E40&gt;I40,E40-I40,0),-1))</x:f>
      </x:c>
      <x:c r="R40" s="18" t="str">
        <x:f t="shared" si="8">IF(OR(F40="",J40="",F40="NA",J40="NA"),"",ROUND(IF(F40&gt;J40,F40-J40,0),-1))</x:f>
      </x:c>
      <x:c r="S40" s="17"/>
      <x:c r="T40" s="18" t="str">
        <x:f t="shared" si="9"/>
        <x:v>No Action</x:v>
      </x:c>
      <x:c r="U40" s="19"/>
    </x:row>
    <x:row r="41" ht="15.75" customHeight="1">
      <x:c r="A41" s="13"/>
      <x:c r="B41" s="14"/>
      <x:c r="C41" s="15"/>
      <x:c r="D41" s="15"/>
      <x:c r="E41" s="15"/>
      <x:c r="F41" s="16"/>
      <x:c r="G41" s="16"/>
      <x:c r="H41" s="16"/>
      <x:c r="I41" s="17"/>
      <x:c r="J41" s="17"/>
      <x:c r="K41" s="18" t="str">
        <x:f t="shared" si="1">IF(OR(C41="",E41="",C41="NA",E41="NA"),"",ROUND(C41-E41,-1))</x:f>
      </x:c>
      <x:c r="L41" s="18" t="str">
        <x:f t="shared" si="2">IF(OR(D41="",F41="",D41="NA",F41="NA"),"",ROUND(D41-F41,-1))</x:f>
      </x:c>
      <x:c r="M41" s="18" t="str">
        <x:f t="shared" si="3">IF(OR(C41="",G41="",C41="NA",G41="NA"),"",ROUND(C41-G41,-1))</x:f>
      </x:c>
      <x:c r="N41" s="18" t="str">
        <x:f t="shared" si="4">IF(OR(D41="",H41="",D41="NA",H41="NA"),"",ROUND(D41-H41,-1))</x:f>
      </x:c>
      <x:c r="O41" s="18" t="str">
        <x:f t="shared" si="5">IF(OR(E41="",G41="",E41="NA",G41="NA"),"",ROUND(E41-G41,-1))</x:f>
      </x:c>
      <x:c r="P41" s="18" t="str">
        <x:f t="shared" si="6">IF(OR(F41="",H41="",F41="NA",H41="NA"),"",ROUND(F41-H41,-1))</x:f>
      </x:c>
      <x:c r="Q41" s="18" t="str">
        <x:f t="shared" si="7">IF(OR(E41="",I41="",E41="NA",I41="NA"),"",ROUND(IF(E41&gt;I41,E41-I41,0),-1))</x:f>
      </x:c>
      <x:c r="R41" s="18" t="str">
        <x:f t="shared" si="8">IF(OR(F41="",J41="",F41="NA",J41="NA"),"",ROUND(IF(F41&gt;J41,F41-J41,0),-1))</x:f>
      </x:c>
      <x:c r="S41" s="17"/>
      <x:c r="T41" s="18" t="str">
        <x:f t="shared" si="9"/>
        <x:v>No Action</x:v>
      </x:c>
      <x:c r="U41" s="19"/>
    </x:row>
    <x:row r="42" ht="15.75" customHeight="1">
      <x:c r="A42" s="13"/>
      <x:c r="B42" s="14"/>
      <x:c r="C42" s="15"/>
      <x:c r="D42" s="15"/>
      <x:c r="E42" s="15"/>
      <x:c r="F42" s="16"/>
      <x:c r="G42" s="16"/>
      <x:c r="H42" s="16"/>
      <x:c r="I42" s="17"/>
      <x:c r="J42" s="17"/>
      <x:c r="K42" s="18" t="str">
        <x:f t="shared" si="1">IF(OR(C42="",E42="",C42="NA",E42="NA"),"",ROUND(C42-E42,-1))</x:f>
      </x:c>
      <x:c r="L42" s="18" t="str">
        <x:f t="shared" si="2">IF(OR(D42="",F42="",D42="NA",F42="NA"),"",ROUND(D42-F42,-1))</x:f>
      </x:c>
      <x:c r="M42" s="18" t="str">
        <x:f t="shared" si="3">IF(OR(C42="",G42="",C42="NA",G42="NA"),"",ROUND(C42-G42,-1))</x:f>
      </x:c>
      <x:c r="N42" s="18" t="str">
        <x:f t="shared" si="4">IF(OR(D42="",H42="",D42="NA",H42="NA"),"",ROUND(D42-H42,-1))</x:f>
      </x:c>
      <x:c r="O42" s="18" t="str">
        <x:f t="shared" si="5">IF(OR(E42="",G42="",E42="NA",G42="NA"),"",ROUND(E42-G42,-1))</x:f>
      </x:c>
      <x:c r="P42" s="18" t="str">
        <x:f t="shared" si="6">IF(OR(F42="",H42="",F42="NA",H42="NA"),"",ROUND(F42-H42,-1))</x:f>
      </x:c>
      <x:c r="Q42" s="18" t="str">
        <x:f t="shared" si="7">IF(OR(E42="",I42="",E42="NA",I42="NA"),"",ROUND(IF(E42&gt;I42,E42-I42,0),-1))</x:f>
      </x:c>
      <x:c r="R42" s="18" t="str">
        <x:f t="shared" si="8">IF(OR(F42="",J42="",F42="NA",J42="NA"),"",ROUND(IF(F42&gt;J42,F42-J42,0),-1))</x:f>
      </x:c>
      <x:c r="S42" s="17"/>
      <x:c r="T42" s="18" t="str">
        <x:f t="shared" si="9"/>
        <x:v>No Action</x:v>
      </x:c>
      <x:c r="U42" s="19"/>
    </x:row>
    <x:row r="43" ht="15.75" customHeight="1">
      <x:c r="A43" s="13"/>
      <x:c r="B43" s="14"/>
      <x:c r="C43" s="15"/>
      <x:c r="D43" s="15"/>
      <x:c r="E43" s="15"/>
      <x:c r="F43" s="16"/>
      <x:c r="G43" s="16"/>
      <x:c r="H43" s="16"/>
      <x:c r="I43" s="17"/>
      <x:c r="J43" s="17"/>
      <x:c r="K43" s="18" t="str">
        <x:f t="shared" si="1">IF(OR(C43="",E43="",C43="NA",E43="NA"),"",ROUND(C43-E43,-1))</x:f>
      </x:c>
      <x:c r="L43" s="18" t="str">
        <x:f t="shared" si="2">IF(OR(D43="",F43="",D43="NA",F43="NA"),"",ROUND(D43-F43,-1))</x:f>
      </x:c>
      <x:c r="M43" s="18" t="str">
        <x:f t="shared" si="3">IF(OR(C43="",G43="",C43="NA",G43="NA"),"",ROUND(C43-G43,-1))</x:f>
      </x:c>
      <x:c r="N43" s="18" t="str">
        <x:f t="shared" si="4">IF(OR(D43="",H43="",D43="NA",H43="NA"),"",ROUND(D43-H43,-1))</x:f>
      </x:c>
      <x:c r="O43" s="18" t="str">
        <x:f t="shared" si="5">IF(OR(E43="",G43="",E43="NA",G43="NA"),"",ROUND(E43-G43,-1))</x:f>
      </x:c>
      <x:c r="P43" s="18" t="str">
        <x:f t="shared" si="6">IF(OR(F43="",H43="",F43="NA",H43="NA"),"",ROUND(F43-H43,-1))</x:f>
      </x:c>
      <x:c r="Q43" s="18" t="str">
        <x:f t="shared" si="7">IF(OR(E43="",I43="",E43="NA",I43="NA"),"",ROUND(IF(E43&gt;I43,E43-I43,0),-1))</x:f>
      </x:c>
      <x:c r="R43" s="18" t="str">
        <x:f t="shared" si="8">IF(OR(F43="",J43="",F43="NA",J43="NA"),"",ROUND(IF(F43&gt;J43,F43-J43,0),-1))</x:f>
      </x:c>
      <x:c r="S43" s="17"/>
      <x:c r="T43" s="18" t="str">
        <x:f t="shared" si="9"/>
        <x:v>No Action</x:v>
      </x:c>
      <x:c r="U43" s="19"/>
    </x:row>
    <x:row r="44" ht="15.75" customHeight="1">
      <x:c r="A44" s="13"/>
      <x:c r="B44" s="14"/>
      <x:c r="C44" s="15"/>
      <x:c r="D44" s="15"/>
      <x:c r="E44" s="15"/>
      <x:c r="F44" s="16"/>
      <x:c r="G44" s="16"/>
      <x:c r="H44" s="16"/>
      <x:c r="I44" s="17"/>
      <x:c r="J44" s="17"/>
      <x:c r="K44" s="18" t="str">
        <x:f t="shared" ref="K44:K65" si="10">IF(OR(C44="",E44="",C44="NA",E44="NA"),"",ROUND(C44-E44,-1))</x:f>
      </x:c>
      <x:c r="L44" s="18" t="str">
        <x:f t="shared" ref="L44:L65" si="11">IF(OR(D44="",F44="",D44="NA",F44="NA"),"",ROUND(D44-F44,-1))</x:f>
      </x:c>
      <x:c r="M44" s="18" t="str">
        <x:f t="shared" ref="M44:M65" si="12">IF(OR(C44="",G44="",C44="NA",G44="NA"),"",ROUND(C44-G44,-1))</x:f>
      </x:c>
      <x:c r="N44" s="18" t="str">
        <x:f t="shared" ref="N44:N65" si="13">IF(OR(D44="",H44="",D44="NA",H44="NA"),"",ROUND(D44-H44,-1))</x:f>
      </x:c>
      <x:c r="O44" s="18" t="str">
        <x:f t="shared" ref="O44:O65" si="14">IF(OR(E44="",G44="",E44="NA",G44="NA"),"",ROUND(E44-G44,-1))</x:f>
      </x:c>
      <x:c r="P44" s="18" t="str">
        <x:f t="shared" ref="P44:P65" si="15">IF(OR(F44="",H44="",F44="NA",H44="NA"),"",ROUND(F44-H44,-1))</x:f>
      </x:c>
      <x:c r="Q44" s="18" t="str">
        <x:f t="shared" ref="Q44:Q65" si="16">IF(OR(E44="",I44="",E44="NA",I44="NA"),"",ROUND(IF(E44&gt;I44,E44-I44,0),-1))</x:f>
      </x:c>
      <x:c r="R44" s="18" t="str">
        <x:f t="shared" ref="R44:R65" si="17">IF(OR(F44="",J44="",F44="NA",J44="NA"),"",ROUND(IF(F44&gt;J44,F44-J44,0),-1))</x:f>
      </x:c>
      <x:c r="S44" s="17"/>
      <x:c r="T44" s="18" t="str">
        <x:f t="shared" ref="T44:T65" si="18">IF(S44="Yes","Report","No Action")</x:f>
        <x:v>No Action</x:v>
      </x:c>
      <x:c r="U44" s="19"/>
    </x:row>
    <x:row r="45" ht="17.25" customHeight="1">
      <x:c r="A45" s="13"/>
      <x:c r="B45" s="14"/>
      <x:c r="C45" s="15"/>
      <x:c r="D45" s="15"/>
      <x:c r="E45" s="15"/>
      <x:c r="F45" s="16"/>
      <x:c r="G45" s="16"/>
      <x:c r="H45" s="16"/>
      <x:c r="I45" s="17"/>
      <x:c r="J45" s="17"/>
      <x:c r="K45" s="18" t="str">
        <x:f t="shared" si="10">IF(OR(C45="",E45="",C45="NA",E45="NA"),"",ROUND(C45-E45,-1))</x:f>
      </x:c>
      <x:c r="L45" s="18" t="str">
        <x:f t="shared" si="11">IF(OR(D45="",F45="",D45="NA",F45="NA"),"",ROUND(D45-F45,-1))</x:f>
      </x:c>
      <x:c r="M45" s="18" t="str">
        <x:f t="shared" si="12">IF(OR(C45="",G45="",C45="NA",G45="NA"),"",ROUND(C45-G45,-1))</x:f>
      </x:c>
      <x:c r="N45" s="18" t="str">
        <x:f t="shared" si="13">IF(OR(D45="",H45="",D45="NA",H45="NA"),"",ROUND(D45-H45,-1))</x:f>
      </x:c>
      <x:c r="O45" s="18" t="str">
        <x:f t="shared" si="14">IF(OR(E45="",G45="",E45="NA",G45="NA"),"",ROUND(E45-G45,-1))</x:f>
      </x:c>
      <x:c r="P45" s="18" t="str">
        <x:f t="shared" si="15">IF(OR(F45="",H45="",F45="NA",H45="NA"),"",ROUND(F45-H45,-1))</x:f>
      </x:c>
      <x:c r="Q45" s="18" t="str">
        <x:f t="shared" si="16">IF(OR(E45="",I45="",E45="NA",I45="NA"),"",ROUND(IF(E45&gt;I45,E45-I45,0),-1))</x:f>
      </x:c>
      <x:c r="R45" s="18" t="str">
        <x:f t="shared" si="17">IF(OR(F45="",J45="",F45="NA",J45="NA"),"",ROUND(IF(F45&gt;J45,F45-J45,0),-1))</x:f>
      </x:c>
      <x:c r="S45" s="17"/>
      <x:c r="T45" s="18" t="str">
        <x:f t="shared" si="18"/>
        <x:v>No Action</x:v>
      </x:c>
      <x:c r="U45" s="19"/>
    </x:row>
    <x:row r="46" ht="17.25" customHeight="1">
      <x:c r="A46" s="13"/>
      <x:c r="B46" s="14"/>
      <x:c r="C46" s="15"/>
      <x:c r="D46" s="15"/>
      <x:c r="E46" s="15"/>
      <x:c r="F46" s="16"/>
      <x:c r="G46" s="16"/>
      <x:c r="H46" s="16"/>
      <x:c r="I46" s="17"/>
      <x:c r="J46" s="17"/>
      <x:c r="K46" s="18" t="str">
        <x:f t="shared" si="10">IF(OR(C46="",E46="",C46="NA",E46="NA"),"",ROUND(C46-E46,-1))</x:f>
      </x:c>
      <x:c r="L46" s="18" t="str">
        <x:f t="shared" si="11">IF(OR(D46="",F46="",D46="NA",F46="NA"),"",ROUND(D46-F46,-1))</x:f>
      </x:c>
      <x:c r="M46" s="18" t="str">
        <x:f t="shared" si="12">IF(OR(C46="",G46="",C46="NA",G46="NA"),"",ROUND(C46-G46,-1))</x:f>
      </x:c>
      <x:c r="N46" s="18" t="str">
        <x:f t="shared" si="13">IF(OR(D46="",H46="",D46="NA",H46="NA"),"",ROUND(D46-H46,-1))</x:f>
      </x:c>
      <x:c r="O46" s="18" t="str">
        <x:f t="shared" si="14">IF(OR(E46="",G46="",E46="NA",G46="NA"),"",ROUND(E46-G46,-1))</x:f>
      </x:c>
      <x:c r="P46" s="18" t="str">
        <x:f t="shared" si="15">IF(OR(F46="",H46="",F46="NA",H46="NA"),"",ROUND(F46-H46,-1))</x:f>
      </x:c>
      <x:c r="Q46" s="18" t="str">
        <x:f t="shared" si="16">IF(OR(E46="",I46="",E46="NA",I46="NA"),"",ROUND(IF(E46&gt;I46,E46-I46,0),-1))</x:f>
      </x:c>
      <x:c r="R46" s="18" t="str">
        <x:f t="shared" si="17">IF(OR(F46="",J46="",F46="NA",J46="NA"),"",ROUND(IF(F46&gt;J46,F46-J46,0),-1))</x:f>
      </x:c>
      <x:c r="S46" s="17"/>
      <x:c r="T46" s="18" t="str">
        <x:f t="shared" si="18"/>
        <x:v>No Action</x:v>
      </x:c>
      <x:c r="U46" s="19"/>
    </x:row>
    <x:row r="47" ht="17.25" customHeight="1">
      <x:c r="A47" s="13"/>
      <x:c r="B47" s="14"/>
      <x:c r="C47" s="15"/>
      <x:c r="D47" s="15"/>
      <x:c r="E47" s="15"/>
      <x:c r="F47" s="16"/>
      <x:c r="G47" s="16"/>
      <x:c r="H47" s="16"/>
      <x:c r="I47" s="17"/>
      <x:c r="J47" s="17"/>
      <x:c r="K47" s="18" t="str">
        <x:f t="shared" si="10">IF(OR(C47="",E47="",C47="NA",E47="NA"),"",ROUND(C47-E47,-1))</x:f>
      </x:c>
      <x:c r="L47" s="18" t="str">
        <x:f t="shared" si="11">IF(OR(D47="",F47="",D47="NA",F47="NA"),"",ROUND(D47-F47,-1))</x:f>
      </x:c>
      <x:c r="M47" s="18" t="str">
        <x:f t="shared" si="12">IF(OR(C47="",G47="",C47="NA",G47="NA"),"",ROUND(C47-G47,-1))</x:f>
      </x:c>
      <x:c r="N47" s="18" t="str">
        <x:f t="shared" si="13">IF(OR(D47="",H47="",D47="NA",H47="NA"),"",ROUND(D47-H47,-1))</x:f>
      </x:c>
      <x:c r="O47" s="18" t="str">
        <x:f t="shared" si="14">IF(OR(E47="",G47="",E47="NA",G47="NA"),"",ROUND(E47-G47,-1))</x:f>
      </x:c>
      <x:c r="P47" s="18" t="str">
        <x:f t="shared" si="15">IF(OR(F47="",H47="",F47="NA",H47="NA"),"",ROUND(F47-H47,-1))</x:f>
      </x:c>
      <x:c r="Q47" s="18" t="str">
        <x:f t="shared" si="16">IF(OR(E47="",I47="",E47="NA",I47="NA"),"",ROUND(IF(E47&gt;I47,E47-I47,0),-1))</x:f>
      </x:c>
      <x:c r="R47" s="18" t="str">
        <x:f t="shared" si="17">IF(OR(F47="",J47="",F47="NA",J47="NA"),"",ROUND(IF(F47&gt;J47,F47-J47,0),-1))</x:f>
      </x:c>
      <x:c r="S47" s="17"/>
      <x:c r="T47" s="18" t="str">
        <x:f t="shared" si="18"/>
        <x:v>No Action</x:v>
      </x:c>
      <x:c r="U47" s="19"/>
    </x:row>
    <x:row r="48" ht="17.25" customHeight="1">
      <x:c r="A48" s="13"/>
      <x:c r="B48" s="14"/>
      <x:c r="C48" s="15"/>
      <x:c r="D48" s="15"/>
      <x:c r="E48" s="15"/>
      <x:c r="F48" s="16"/>
      <x:c r="G48" s="16"/>
      <x:c r="H48" s="16"/>
      <x:c r="I48" s="17"/>
      <x:c r="J48" s="17"/>
      <x:c r="K48" s="18" t="str">
        <x:f t="shared" si="10">IF(OR(C48="",E48="",C48="NA",E48="NA"),"",ROUND(C48-E48,-1))</x:f>
      </x:c>
      <x:c r="L48" s="18" t="str">
        <x:f t="shared" si="11">IF(OR(D48="",F48="",D48="NA",F48="NA"),"",ROUND(D48-F48,-1))</x:f>
      </x:c>
      <x:c r="M48" s="18" t="str">
        <x:f t="shared" si="12">IF(OR(C48="",G48="",C48="NA",G48="NA"),"",ROUND(C48-G48,-1))</x:f>
      </x:c>
      <x:c r="N48" s="18" t="str">
        <x:f t="shared" si="13">IF(OR(D48="",H48="",D48="NA",H48="NA"),"",ROUND(D48-H48,-1))</x:f>
      </x:c>
      <x:c r="O48" s="18" t="str">
        <x:f t="shared" si="14">IF(OR(E48="",G48="",E48="NA",G48="NA"),"",ROUND(E48-G48,-1))</x:f>
      </x:c>
      <x:c r="P48" s="18" t="str">
        <x:f t="shared" si="15">IF(OR(F48="",H48="",F48="NA",H48="NA"),"",ROUND(F48-H48,-1))</x:f>
      </x:c>
      <x:c r="Q48" s="18" t="str">
        <x:f t="shared" si="16">IF(OR(E48="",I48="",E48="NA",I48="NA"),"",ROUND(IF(E48&gt;I48,E48-I48,0),-1))</x:f>
      </x:c>
      <x:c r="R48" s="18" t="str">
        <x:f t="shared" si="17">IF(OR(F48="",J48="",F48="NA",J48="NA"),"",ROUND(IF(F48&gt;J48,F48-J48,0),-1))</x:f>
      </x:c>
      <x:c r="S48" s="17"/>
      <x:c r="T48" s="18" t="str">
        <x:f t="shared" si="18"/>
        <x:v>No Action</x:v>
      </x:c>
      <x:c r="U48" s="19"/>
    </x:row>
    <x:row r="49" ht="17.25" customHeight="1">
      <x:c r="A49" s="13"/>
      <x:c r="B49" s="14"/>
      <x:c r="C49" s="15"/>
      <x:c r="D49" s="15"/>
      <x:c r="E49" s="15"/>
      <x:c r="F49" s="16"/>
      <x:c r="G49" s="16"/>
      <x:c r="H49" s="16"/>
      <x:c r="I49" s="17"/>
      <x:c r="J49" s="17"/>
      <x:c r="K49" s="18" t="str">
        <x:f t="shared" si="10">IF(OR(C49="",E49="",C49="NA",E49="NA"),"",ROUND(C49-E49,-1))</x:f>
      </x:c>
      <x:c r="L49" s="18" t="str">
        <x:f t="shared" si="11">IF(OR(D49="",F49="",D49="NA",F49="NA"),"",ROUND(D49-F49,-1))</x:f>
      </x:c>
      <x:c r="M49" s="18" t="str">
        <x:f t="shared" si="12">IF(OR(C49="",G49="",C49="NA",G49="NA"),"",ROUND(C49-G49,-1))</x:f>
      </x:c>
      <x:c r="N49" s="18" t="str">
        <x:f t="shared" si="13">IF(OR(D49="",H49="",D49="NA",H49="NA"),"",ROUND(D49-H49,-1))</x:f>
      </x:c>
      <x:c r="O49" s="18" t="str">
        <x:f t="shared" si="14">IF(OR(E49="",G49="",E49="NA",G49="NA"),"",ROUND(E49-G49,-1))</x:f>
      </x:c>
      <x:c r="P49" s="18" t="str">
        <x:f t="shared" si="15">IF(OR(F49="",H49="",F49="NA",H49="NA"),"",ROUND(F49-H49,-1))</x:f>
      </x:c>
      <x:c r="Q49" s="18" t="str">
        <x:f t="shared" si="16">IF(OR(E49="",I49="",E49="NA",I49="NA"),"",ROUND(IF(E49&gt;I49,E49-I49,0),-1))</x:f>
      </x:c>
      <x:c r="R49" s="18" t="str">
        <x:f t="shared" si="17">IF(OR(F49="",J49="",F49="NA",J49="NA"),"",ROUND(IF(F49&gt;J49,F49-J49,0),-1))</x:f>
      </x:c>
      <x:c r="S49" s="17"/>
      <x:c r="T49" s="18" t="str">
        <x:f t="shared" si="18"/>
        <x:v>No Action</x:v>
      </x:c>
      <x:c r="U49" s="19"/>
    </x:row>
    <x:row r="50" ht="17.25" customHeight="1">
      <x:c r="A50" s="13"/>
      <x:c r="B50" s="14"/>
      <x:c r="C50" s="15"/>
      <x:c r="D50" s="15"/>
      <x:c r="E50" s="15"/>
      <x:c r="F50" s="16"/>
      <x:c r="G50" s="16"/>
      <x:c r="H50" s="16"/>
      <x:c r="I50" s="17"/>
      <x:c r="J50" s="17"/>
      <x:c r="K50" s="18" t="str">
        <x:f t="shared" si="10">IF(OR(C50="",E50="",C50="NA",E50="NA"),"",ROUND(C50-E50,-1))</x:f>
      </x:c>
      <x:c r="L50" s="18" t="str">
        <x:f t="shared" si="11">IF(OR(D50="",F50="",D50="NA",F50="NA"),"",ROUND(D50-F50,-1))</x:f>
      </x:c>
      <x:c r="M50" s="18" t="str">
        <x:f t="shared" si="12">IF(OR(C50="",G50="",C50="NA",G50="NA"),"",ROUND(C50-G50,-1))</x:f>
      </x:c>
      <x:c r="N50" s="18" t="str">
        <x:f t="shared" si="13">IF(OR(D50="",H50="",D50="NA",H50="NA"),"",ROUND(D50-H50,-1))</x:f>
      </x:c>
      <x:c r="O50" s="18" t="str">
        <x:f t="shared" si="14">IF(OR(E50="",G50="",E50="NA",G50="NA"),"",ROUND(E50-G50,-1))</x:f>
      </x:c>
      <x:c r="P50" s="18" t="str">
        <x:f t="shared" si="15">IF(OR(F50="",H50="",F50="NA",H50="NA"),"",ROUND(F50-H50,-1))</x:f>
      </x:c>
      <x:c r="Q50" s="18" t="str">
        <x:f t="shared" si="16">IF(OR(E50="",I50="",E50="NA",I50="NA"),"",ROUND(IF(E50&gt;I50,E50-I50,0),-1))</x:f>
      </x:c>
      <x:c r="R50" s="18" t="str">
        <x:f t="shared" si="17">IF(OR(F50="",J50="",F50="NA",J50="NA"),"",ROUND(IF(F50&gt;J50,F50-J50,0),-1))</x:f>
      </x:c>
      <x:c r="S50" s="17"/>
      <x:c r="T50" s="18" t="str">
        <x:f t="shared" si="18"/>
        <x:v>No Action</x:v>
      </x:c>
      <x:c r="U50" s="19"/>
    </x:row>
    <x:row r="51" ht="17.25" customHeight="1">
      <x:c r="A51" s="13"/>
      <x:c r="B51" s="14"/>
      <x:c r="C51" s="15"/>
      <x:c r="D51" s="15"/>
      <x:c r="E51" s="15"/>
      <x:c r="F51" s="16"/>
      <x:c r="G51" s="16"/>
      <x:c r="H51" s="16"/>
      <x:c r="I51" s="17"/>
      <x:c r="J51" s="17"/>
      <x:c r="K51" s="18" t="str">
        <x:f t="shared" si="10">IF(OR(C51="",E51="",C51="NA",E51="NA"),"",ROUND(C51-E51,-1))</x:f>
      </x:c>
      <x:c r="L51" s="18" t="str">
        <x:f t="shared" si="11">IF(OR(D51="",F51="",D51="NA",F51="NA"),"",ROUND(D51-F51,-1))</x:f>
      </x:c>
      <x:c r="M51" s="18" t="str">
        <x:f t="shared" si="12">IF(OR(C51="",G51="",C51="NA",G51="NA"),"",ROUND(C51-G51,-1))</x:f>
      </x:c>
      <x:c r="N51" s="18" t="str">
        <x:f t="shared" si="13">IF(OR(D51="",H51="",D51="NA",H51="NA"),"",ROUND(D51-H51,-1))</x:f>
      </x:c>
      <x:c r="O51" s="18" t="str">
        <x:f t="shared" si="14">IF(OR(E51="",G51="",E51="NA",G51="NA"),"",ROUND(E51-G51,-1))</x:f>
      </x:c>
      <x:c r="P51" s="18" t="str">
        <x:f t="shared" si="15">IF(OR(F51="",H51="",F51="NA",H51="NA"),"",ROUND(F51-H51,-1))</x:f>
      </x:c>
      <x:c r="Q51" s="18" t="str">
        <x:f t="shared" si="16">IF(OR(E51="",I51="",E51="NA",I51="NA"),"",ROUND(IF(E51&gt;I51,E51-I51,0),-1))</x:f>
      </x:c>
      <x:c r="R51" s="18" t="str">
        <x:f t="shared" si="17">IF(OR(F51="",J51="",F51="NA",J51="NA"),"",ROUND(IF(F51&gt;J51,F51-J51,0),-1))</x:f>
      </x:c>
      <x:c r="S51" s="17"/>
      <x:c r="T51" s="18" t="str">
        <x:f t="shared" si="18"/>
        <x:v>No Action</x:v>
      </x:c>
      <x:c r="U51" s="19"/>
    </x:row>
    <x:row r="52" ht="17.25" customHeight="1">
      <x:c r="A52" s="13"/>
      <x:c r="B52" s="14"/>
      <x:c r="C52" s="15"/>
      <x:c r="D52" s="15"/>
      <x:c r="E52" s="15"/>
      <x:c r="F52" s="16"/>
      <x:c r="G52" s="16"/>
      <x:c r="H52" s="16"/>
      <x:c r="I52" s="17"/>
      <x:c r="J52" s="17"/>
      <x:c r="K52" s="18" t="str">
        <x:f t="shared" si="10">IF(OR(C52="",E52="",C52="NA",E52="NA"),"",ROUND(C52-E52,-1))</x:f>
      </x:c>
      <x:c r="L52" s="18" t="str">
        <x:f t="shared" si="11">IF(OR(D52="",F52="",D52="NA",F52="NA"),"",ROUND(D52-F52,-1))</x:f>
      </x:c>
      <x:c r="M52" s="18" t="str">
        <x:f t="shared" si="12">IF(OR(C52="",G52="",C52="NA",G52="NA"),"",ROUND(C52-G52,-1))</x:f>
      </x:c>
      <x:c r="N52" s="18" t="str">
        <x:f t="shared" si="13">IF(OR(D52="",H52="",D52="NA",H52="NA"),"",ROUND(D52-H52,-1))</x:f>
      </x:c>
      <x:c r="O52" s="18" t="str">
        <x:f t="shared" si="14">IF(OR(E52="",G52="",E52="NA",G52="NA"),"",ROUND(E52-G52,-1))</x:f>
      </x:c>
      <x:c r="P52" s="18" t="str">
        <x:f t="shared" si="15">IF(OR(F52="",H52="",F52="NA",H52="NA"),"",ROUND(F52-H52,-1))</x:f>
      </x:c>
      <x:c r="Q52" s="18" t="str">
        <x:f t="shared" si="16">IF(OR(E52="",I52="",E52="NA",I52="NA"),"",ROUND(IF(E52&gt;I52,E52-I52,0),-1))</x:f>
      </x:c>
      <x:c r="R52" s="18" t="str">
        <x:f t="shared" si="17">IF(OR(F52="",J52="",F52="NA",J52="NA"),"",ROUND(IF(F52&gt;J52,F52-J52,0),-1))</x:f>
      </x:c>
      <x:c r="S52" s="17"/>
      <x:c r="T52" s="18" t="str">
        <x:f t="shared" si="18"/>
        <x:v>No Action</x:v>
      </x:c>
      <x:c r="U52" s="19"/>
    </x:row>
    <x:row r="53" ht="17.25" customHeight="1">
      <x:c r="A53" s="13"/>
      <x:c r="B53" s="14"/>
      <x:c r="C53" s="15"/>
      <x:c r="D53" s="15"/>
      <x:c r="E53" s="15"/>
      <x:c r="F53" s="16"/>
      <x:c r="G53" s="16"/>
      <x:c r="H53" s="16"/>
      <x:c r="I53" s="17"/>
      <x:c r="J53" s="17"/>
      <x:c r="K53" s="18" t="str">
        <x:f t="shared" si="10">IF(OR(C53="",E53="",C53="NA",E53="NA"),"",ROUND(C53-E53,-1))</x:f>
      </x:c>
      <x:c r="L53" s="18" t="str">
        <x:f t="shared" si="11">IF(OR(D53="",F53="",D53="NA",F53="NA"),"",ROUND(D53-F53,-1))</x:f>
      </x:c>
      <x:c r="M53" s="18" t="str">
        <x:f t="shared" si="12">IF(OR(C53="",G53="",C53="NA",G53="NA"),"",ROUND(C53-G53,-1))</x:f>
      </x:c>
      <x:c r="N53" s="18" t="str">
        <x:f t="shared" si="13">IF(OR(D53="",H53="",D53="NA",H53="NA"),"",ROUND(D53-H53,-1))</x:f>
      </x:c>
      <x:c r="O53" s="18" t="str">
        <x:f t="shared" si="14">IF(OR(E53="",G53="",E53="NA",G53="NA"),"",ROUND(E53-G53,-1))</x:f>
      </x:c>
      <x:c r="P53" s="18" t="str">
        <x:f t="shared" si="15">IF(OR(F53="",H53="",F53="NA",H53="NA"),"",ROUND(F53-H53,-1))</x:f>
      </x:c>
      <x:c r="Q53" s="18" t="str">
        <x:f t="shared" si="16">IF(OR(E53="",I53="",E53="NA",I53="NA"),"",ROUND(IF(E53&gt;I53,E53-I53,0),-1))</x:f>
      </x:c>
      <x:c r="R53" s="18" t="str">
        <x:f t="shared" si="17">IF(OR(F53="",J53="",F53="NA",J53="NA"),"",ROUND(IF(F53&gt;J53,F53-J53,0),-1))</x:f>
      </x:c>
      <x:c r="S53" s="17"/>
      <x:c r="T53" s="18" t="str">
        <x:f t="shared" si="18"/>
        <x:v>No Action</x:v>
      </x:c>
      <x:c r="U53" s="19"/>
    </x:row>
    <x:row r="54" ht="17.25" customHeight="1">
      <x:c r="A54" s="13"/>
      <x:c r="B54" s="14"/>
      <x:c r="C54" s="15"/>
      <x:c r="D54" s="15"/>
      <x:c r="E54" s="15"/>
      <x:c r="F54" s="16"/>
      <x:c r="G54" s="16"/>
      <x:c r="H54" s="16"/>
      <x:c r="I54" s="17"/>
      <x:c r="J54" s="17"/>
      <x:c r="K54" s="18" t="str">
        <x:f t="shared" si="10">IF(OR(C54="",E54="",C54="NA",E54="NA"),"",ROUND(C54-E54,-1))</x:f>
      </x:c>
      <x:c r="L54" s="18" t="str">
        <x:f t="shared" si="11">IF(OR(D54="",F54="",D54="NA",F54="NA"),"",ROUND(D54-F54,-1))</x:f>
      </x:c>
      <x:c r="M54" s="18" t="str">
        <x:f t="shared" si="12">IF(OR(C54="",G54="",C54="NA",G54="NA"),"",ROUND(C54-G54,-1))</x:f>
      </x:c>
      <x:c r="N54" s="18" t="str">
        <x:f t="shared" si="13">IF(OR(D54="",H54="",D54="NA",H54="NA"),"",ROUND(D54-H54,-1))</x:f>
      </x:c>
      <x:c r="O54" s="18" t="str">
        <x:f t="shared" si="14">IF(OR(E54="",G54="",E54="NA",G54="NA"),"",ROUND(E54-G54,-1))</x:f>
      </x:c>
      <x:c r="P54" s="18" t="str">
        <x:f t="shared" si="15">IF(OR(F54="",H54="",F54="NA",H54="NA"),"",ROUND(F54-H54,-1))</x:f>
      </x:c>
      <x:c r="Q54" s="18" t="str">
        <x:f t="shared" si="16">IF(OR(E54="",I54="",E54="NA",I54="NA"),"",ROUND(IF(E54&gt;I54,E54-I54,0),-1))</x:f>
      </x:c>
      <x:c r="R54" s="18" t="str">
        <x:f t="shared" si="17">IF(OR(F54="",J54="",F54="NA",J54="NA"),"",ROUND(IF(F54&gt;J54,F54-J54,0),-1))</x:f>
      </x:c>
      <x:c r="S54" s="17"/>
      <x:c r="T54" s="18" t="str">
        <x:f t="shared" si="18"/>
        <x:v>No Action</x:v>
      </x:c>
      <x:c r="U54" s="19"/>
    </x:row>
    <x:row r="55" ht="17.25" customHeight="1">
      <x:c r="A55" s="13"/>
      <x:c r="B55" s="14"/>
      <x:c r="C55" s="15"/>
      <x:c r="D55" s="15"/>
      <x:c r="E55" s="15"/>
      <x:c r="F55" s="16"/>
      <x:c r="G55" s="16"/>
      <x:c r="H55" s="16"/>
      <x:c r="I55" s="17"/>
      <x:c r="J55" s="17"/>
      <x:c r="K55" s="18" t="str">
        <x:f t="shared" si="10">IF(OR(C55="",E55="",C55="NA",E55="NA"),"",ROUND(C55-E55,-1))</x:f>
      </x:c>
      <x:c r="L55" s="18" t="str">
        <x:f t="shared" si="11">IF(OR(D55="",F55="",D55="NA",F55="NA"),"",ROUND(D55-F55,-1))</x:f>
      </x:c>
      <x:c r="M55" s="18" t="str">
        <x:f t="shared" si="12">IF(OR(C55="",G55="",C55="NA",G55="NA"),"",ROUND(C55-G55,-1))</x:f>
      </x:c>
      <x:c r="N55" s="18" t="str">
        <x:f t="shared" si="13">IF(OR(D55="",H55="",D55="NA",H55="NA"),"",ROUND(D55-H55,-1))</x:f>
      </x:c>
      <x:c r="O55" s="18" t="str">
        <x:f t="shared" si="14">IF(OR(E55="",G55="",E55="NA",G55="NA"),"",ROUND(E55-G55,-1))</x:f>
      </x:c>
      <x:c r="P55" s="18" t="str">
        <x:f t="shared" si="15">IF(OR(F55="",H55="",F55="NA",H55="NA"),"",ROUND(F55-H55,-1))</x:f>
      </x:c>
      <x:c r="Q55" s="18" t="str">
        <x:f t="shared" si="16">IF(OR(E55="",I55="",E55="NA",I55="NA"),"",ROUND(IF(E55&gt;I55,E55-I55,0),-1))</x:f>
      </x:c>
      <x:c r="R55" s="18" t="str">
        <x:f t="shared" si="17">IF(OR(F55="",J55="",F55="NA",J55="NA"),"",ROUND(IF(F55&gt;J55,F55-J55,0),-1))</x:f>
      </x:c>
      <x:c r="S55" s="17"/>
      <x:c r="T55" s="18" t="str">
        <x:f t="shared" si="18"/>
        <x:v>No Action</x:v>
      </x:c>
      <x:c r="U55" s="19"/>
    </x:row>
    <x:row r="56" ht="17.25" customHeight="1">
      <x:c r="A56" s="13"/>
      <x:c r="B56" s="14"/>
      <x:c r="C56" s="15"/>
      <x:c r="D56" s="15"/>
      <x:c r="E56" s="15"/>
      <x:c r="F56" s="16"/>
      <x:c r="G56" s="16"/>
      <x:c r="H56" s="16"/>
      <x:c r="I56" s="17"/>
      <x:c r="J56" s="17"/>
      <x:c r="K56" s="18" t="str">
        <x:f t="shared" si="10">IF(OR(C56="",E56="",C56="NA",E56="NA"),"",ROUND(C56-E56,-1))</x:f>
      </x:c>
      <x:c r="L56" s="18" t="str">
        <x:f t="shared" si="11">IF(OR(D56="",F56="",D56="NA",F56="NA"),"",ROUND(D56-F56,-1))</x:f>
      </x:c>
      <x:c r="M56" s="18" t="str">
        <x:f t="shared" si="12">IF(OR(C56="",G56="",C56="NA",G56="NA"),"",ROUND(C56-G56,-1))</x:f>
      </x:c>
      <x:c r="N56" s="18" t="str">
        <x:f t="shared" si="13">IF(OR(D56="",H56="",D56="NA",H56="NA"),"",ROUND(D56-H56,-1))</x:f>
      </x:c>
      <x:c r="O56" s="18" t="str">
        <x:f t="shared" si="14">IF(OR(E56="",G56="",E56="NA",G56="NA"),"",ROUND(E56-G56,-1))</x:f>
      </x:c>
      <x:c r="P56" s="18" t="str">
        <x:f t="shared" si="15">IF(OR(F56="",H56="",F56="NA",H56="NA"),"",ROUND(F56-H56,-1))</x:f>
      </x:c>
      <x:c r="Q56" s="18" t="str">
        <x:f t="shared" si="16">IF(OR(E56="",I56="",E56="NA",I56="NA"),"",ROUND(IF(E56&gt;I56,E56-I56,0),-1))</x:f>
      </x:c>
      <x:c r="R56" s="18" t="str">
        <x:f t="shared" si="17">IF(OR(F56="",J56="",F56="NA",J56="NA"),"",ROUND(IF(F56&gt;J56,F56-J56,0),-1))</x:f>
      </x:c>
      <x:c r="S56" s="17"/>
      <x:c r="T56" s="18" t="str">
        <x:f t="shared" si="18"/>
        <x:v>No Action</x:v>
      </x:c>
      <x:c r="U56" s="19"/>
    </x:row>
    <x:row r="57" ht="17.25" customHeight="1">
      <x:c r="A57" s="13"/>
      <x:c r="B57" s="14"/>
      <x:c r="C57" s="15"/>
      <x:c r="D57" s="15"/>
      <x:c r="E57" s="15"/>
      <x:c r="F57" s="16"/>
      <x:c r="G57" s="16"/>
      <x:c r="H57" s="16"/>
      <x:c r="I57" s="17"/>
      <x:c r="J57" s="17"/>
      <x:c r="K57" s="18" t="str">
        <x:f t="shared" si="10">IF(OR(C57="",E57="",C57="NA",E57="NA"),"",ROUND(C57-E57,-1))</x:f>
      </x:c>
      <x:c r="L57" s="18" t="str">
        <x:f t="shared" si="11">IF(OR(D57="",F57="",D57="NA",F57="NA"),"",ROUND(D57-F57,-1))</x:f>
      </x:c>
      <x:c r="M57" s="18" t="str">
        <x:f t="shared" si="12">IF(OR(C57="",G57="",C57="NA",G57="NA"),"",ROUND(C57-G57,-1))</x:f>
      </x:c>
      <x:c r="N57" s="18" t="str">
        <x:f t="shared" si="13">IF(OR(D57="",H57="",D57="NA",H57="NA"),"",ROUND(D57-H57,-1))</x:f>
      </x:c>
      <x:c r="O57" s="18" t="str">
        <x:f t="shared" si="14">IF(OR(E57="",G57="",E57="NA",G57="NA"),"",ROUND(E57-G57,-1))</x:f>
      </x:c>
      <x:c r="P57" s="18" t="str">
        <x:f t="shared" si="15">IF(OR(F57="",H57="",F57="NA",H57="NA"),"",ROUND(F57-H57,-1))</x:f>
      </x:c>
      <x:c r="Q57" s="18" t="str">
        <x:f t="shared" si="16">IF(OR(E57="",I57="",E57="NA",I57="NA"),"",ROUND(IF(E57&gt;I57,E57-I57,0),-1))</x:f>
      </x:c>
      <x:c r="R57" s="18" t="str">
        <x:f t="shared" si="17">IF(OR(F57="",J57="",F57="NA",J57="NA"),"",ROUND(IF(F57&gt;J57,F57-J57,0),-1))</x:f>
      </x:c>
      <x:c r="S57" s="17"/>
      <x:c r="T57" s="18" t="str">
        <x:f t="shared" si="18"/>
        <x:v>No Action</x:v>
      </x:c>
      <x:c r="U57" s="19"/>
    </x:row>
    <x:row r="58" ht="17.25" customHeight="1">
      <x:c r="A58" s="13"/>
      <x:c r="B58" s="14"/>
      <x:c r="C58" s="15"/>
      <x:c r="D58" s="15"/>
      <x:c r="E58" s="15"/>
      <x:c r="F58" s="16"/>
      <x:c r="G58" s="16"/>
      <x:c r="H58" s="16"/>
      <x:c r="I58" s="17"/>
      <x:c r="J58" s="17"/>
      <x:c r="K58" s="18" t="str">
        <x:f t="shared" si="10">IF(OR(C58="",E58="",C58="NA",E58="NA"),"",ROUND(C58-E58,-1))</x:f>
      </x:c>
      <x:c r="L58" s="18" t="str">
        <x:f t="shared" si="11">IF(OR(D58="",F58="",D58="NA",F58="NA"),"",ROUND(D58-F58,-1))</x:f>
      </x:c>
      <x:c r="M58" s="18" t="str">
        <x:f t="shared" si="12">IF(OR(C58="",G58="",C58="NA",G58="NA"),"",ROUND(C58-G58,-1))</x:f>
      </x:c>
      <x:c r="N58" s="18" t="str">
        <x:f t="shared" si="13">IF(OR(D58="",H58="",D58="NA",H58="NA"),"",ROUND(D58-H58,-1))</x:f>
      </x:c>
      <x:c r="O58" s="18" t="str">
        <x:f t="shared" si="14">IF(OR(E58="",G58="",E58="NA",G58="NA"),"",ROUND(E58-G58,-1))</x:f>
      </x:c>
      <x:c r="P58" s="18" t="str">
        <x:f t="shared" si="15">IF(OR(F58="",H58="",F58="NA",H58="NA"),"",ROUND(F58-H58,-1))</x:f>
      </x:c>
      <x:c r="Q58" s="18" t="str">
        <x:f t="shared" si="16">IF(OR(E58="",I58="",E58="NA",I58="NA"),"",ROUND(IF(E58&gt;I58,E58-I58,0),-1))</x:f>
      </x:c>
      <x:c r="R58" s="18" t="str">
        <x:f t="shared" si="17">IF(OR(F58="",J58="",F58="NA",J58="NA"),"",ROUND(IF(F58&gt;J58,F58-J58,0),-1))</x:f>
      </x:c>
      <x:c r="S58" s="17"/>
      <x:c r="T58" s="18" t="str">
        <x:f t="shared" si="18"/>
        <x:v>No Action</x:v>
      </x:c>
      <x:c r="U58" s="19"/>
    </x:row>
    <x:row r="59" ht="17.25" customHeight="1">
      <x:c r="A59" s="13"/>
      <x:c r="B59" s="14"/>
      <x:c r="C59" s="15"/>
      <x:c r="D59" s="15"/>
      <x:c r="E59" s="15"/>
      <x:c r="F59" s="16"/>
      <x:c r="G59" s="16"/>
      <x:c r="H59" s="16"/>
      <x:c r="I59" s="17"/>
      <x:c r="J59" s="17"/>
      <x:c r="K59" s="18" t="str">
        <x:f t="shared" si="10">IF(OR(C59="",E59="",C59="NA",E59="NA"),"",ROUND(C59-E59,-1))</x:f>
      </x:c>
      <x:c r="L59" s="18" t="str">
        <x:f t="shared" si="11">IF(OR(D59="",F59="",D59="NA",F59="NA"),"",ROUND(D59-F59,-1))</x:f>
      </x:c>
      <x:c r="M59" s="18" t="str">
        <x:f t="shared" si="12">IF(OR(C59="",G59="",C59="NA",G59="NA"),"",ROUND(C59-G59,-1))</x:f>
      </x:c>
      <x:c r="N59" s="18" t="str">
        <x:f t="shared" si="13">IF(OR(D59="",H59="",D59="NA",H59="NA"),"",ROUND(D59-H59,-1))</x:f>
      </x:c>
      <x:c r="O59" s="18" t="str">
        <x:f t="shared" si="14">IF(OR(E59="",G59="",E59="NA",G59="NA"),"",ROUND(E59-G59,-1))</x:f>
      </x:c>
      <x:c r="P59" s="18" t="str">
        <x:f t="shared" si="15">IF(OR(F59="",H59="",F59="NA",H59="NA"),"",ROUND(F59-H59,-1))</x:f>
      </x:c>
      <x:c r="Q59" s="18" t="str">
        <x:f t="shared" si="16">IF(OR(E59="",I59="",E59="NA",I59="NA"),"",ROUND(IF(E59&gt;I59,E59-I59,0),-1))</x:f>
      </x:c>
      <x:c r="R59" s="18" t="str">
        <x:f t="shared" si="17">IF(OR(F59="",J59="",F59="NA",J59="NA"),"",ROUND(IF(F59&gt;J59,F59-J59,0),-1))</x:f>
      </x:c>
      <x:c r="S59" s="17"/>
      <x:c r="T59" s="18" t="str">
        <x:f t="shared" si="18"/>
        <x:v>No Action</x:v>
      </x:c>
      <x:c r="U59" s="19"/>
    </x:row>
    <x:row r="60" ht="17.25" customHeight="1">
      <x:c r="A60" s="13"/>
      <x:c r="B60" s="14"/>
      <x:c r="C60" s="15"/>
      <x:c r="D60" s="15"/>
      <x:c r="E60" s="15"/>
      <x:c r="F60" s="16"/>
      <x:c r="G60" s="16"/>
      <x:c r="H60" s="16"/>
      <x:c r="I60" s="17"/>
      <x:c r="J60" s="17"/>
      <x:c r="K60" s="18" t="str">
        <x:f t="shared" si="10">IF(OR(C60="",E60="",C60="NA",E60="NA"),"",ROUND(C60-E60,-1))</x:f>
      </x:c>
      <x:c r="L60" s="18" t="str">
        <x:f t="shared" si="11">IF(OR(D60="",F60="",D60="NA",F60="NA"),"",ROUND(D60-F60,-1))</x:f>
      </x:c>
      <x:c r="M60" s="18" t="str">
        <x:f t="shared" si="12">IF(OR(C60="",G60="",C60="NA",G60="NA"),"",ROUND(C60-G60,-1))</x:f>
      </x:c>
      <x:c r="N60" s="18" t="str">
        <x:f t="shared" si="13">IF(OR(D60="",H60="",D60="NA",H60="NA"),"",ROUND(D60-H60,-1))</x:f>
      </x:c>
      <x:c r="O60" s="18" t="str">
        <x:f t="shared" si="14">IF(OR(E60="",G60="",E60="NA",G60="NA"),"",ROUND(E60-G60,-1))</x:f>
      </x:c>
      <x:c r="P60" s="18" t="str">
        <x:f t="shared" si="15">IF(OR(F60="",H60="",F60="NA",H60="NA"),"",ROUND(F60-H60,-1))</x:f>
      </x:c>
      <x:c r="Q60" s="18" t="str">
        <x:f t="shared" si="16">IF(OR(E60="",I60="",E60="NA",I60="NA"),"",ROUND(IF(E60&gt;I60,E60-I60,0),-1))</x:f>
      </x:c>
      <x:c r="R60" s="18" t="str">
        <x:f t="shared" si="17">IF(OR(F60="",J60="",F60="NA",J60="NA"),"",ROUND(IF(F60&gt;J60,F60-J60,0),-1))</x:f>
      </x:c>
      <x:c r="S60" s="17"/>
      <x:c r="T60" s="18" t="str">
        <x:f t="shared" si="18"/>
        <x:v>No Action</x:v>
      </x:c>
      <x:c r="U60" s="19"/>
    </x:row>
    <x:row r="61" ht="17.25" customHeight="1">
      <x:c r="A61" s="13"/>
      <x:c r="B61" s="14"/>
      <x:c r="C61" s="15"/>
      <x:c r="D61" s="15"/>
      <x:c r="E61" s="15"/>
      <x:c r="F61" s="16"/>
      <x:c r="G61" s="16"/>
      <x:c r="H61" s="16"/>
      <x:c r="I61" s="17"/>
      <x:c r="J61" s="17"/>
      <x:c r="K61" s="18" t="str">
        <x:f t="shared" si="10">IF(OR(C61="",E61="",C61="NA",E61="NA"),"",ROUND(C61-E61,-1))</x:f>
      </x:c>
      <x:c r="L61" s="18" t="str">
        <x:f t="shared" si="11">IF(OR(D61="",F61="",D61="NA",F61="NA"),"",ROUND(D61-F61,-1))</x:f>
      </x:c>
      <x:c r="M61" s="18" t="str">
        <x:f t="shared" si="12">IF(OR(C61="",G61="",C61="NA",G61="NA"),"",ROUND(C61-G61,-1))</x:f>
      </x:c>
      <x:c r="N61" s="18" t="str">
        <x:f t="shared" si="13">IF(OR(D61="",H61="",D61="NA",H61="NA"),"",ROUND(D61-H61,-1))</x:f>
      </x:c>
      <x:c r="O61" s="18" t="str">
        <x:f t="shared" si="14">IF(OR(E61="",G61="",E61="NA",G61="NA"),"",ROUND(E61-G61,-1))</x:f>
      </x:c>
      <x:c r="P61" s="18" t="str">
        <x:f t="shared" si="15">IF(OR(F61="",H61="",F61="NA",H61="NA"),"",ROUND(F61-H61,-1))</x:f>
      </x:c>
      <x:c r="Q61" s="18" t="str">
        <x:f t="shared" si="16">IF(OR(E61="",I61="",E61="NA",I61="NA"),"",ROUND(IF(E61&gt;I61,E61-I61,0),-1))</x:f>
      </x:c>
      <x:c r="R61" s="18" t="str">
        <x:f t="shared" si="17">IF(OR(F61="",J61="",F61="NA",J61="NA"),"",ROUND(IF(F61&gt;J61,F61-J61,0),-1))</x:f>
      </x:c>
      <x:c r="S61" s="17"/>
      <x:c r="T61" s="18" t="str">
        <x:f t="shared" si="18"/>
        <x:v>No Action</x:v>
      </x:c>
      <x:c r="U61" s="19"/>
    </x:row>
    <x:row r="62" ht="17.25" customHeight="1">
      <x:c r="A62" s="13"/>
      <x:c r="B62" s="14"/>
      <x:c r="C62" s="15"/>
      <x:c r="D62" s="15"/>
      <x:c r="E62" s="15"/>
      <x:c r="F62" s="16"/>
      <x:c r="G62" s="16"/>
      <x:c r="H62" s="16"/>
      <x:c r="I62" s="17"/>
      <x:c r="J62" s="17"/>
      <x:c r="K62" s="18" t="str">
        <x:f t="shared" si="10">IF(OR(C62="",E62="",C62="NA",E62="NA"),"",ROUND(C62-E62,-1))</x:f>
      </x:c>
      <x:c r="L62" s="18" t="str">
        <x:f t="shared" si="11">IF(OR(D62="",F62="",D62="NA",F62="NA"),"",ROUND(D62-F62,-1))</x:f>
      </x:c>
      <x:c r="M62" s="18" t="str">
        <x:f t="shared" si="12">IF(OR(C62="",G62="",C62="NA",G62="NA"),"",ROUND(C62-G62,-1))</x:f>
      </x:c>
      <x:c r="N62" s="18" t="str">
        <x:f t="shared" si="13">IF(OR(D62="",H62="",D62="NA",H62="NA"),"",ROUND(D62-H62,-1))</x:f>
      </x:c>
      <x:c r="O62" s="18" t="str">
        <x:f t="shared" si="14">IF(OR(E62="",G62="",E62="NA",G62="NA"),"",ROUND(E62-G62,-1))</x:f>
      </x:c>
      <x:c r="P62" s="18" t="str">
        <x:f t="shared" si="15">IF(OR(F62="",H62="",F62="NA",H62="NA"),"",ROUND(F62-H62,-1))</x:f>
      </x:c>
      <x:c r="Q62" s="18" t="str">
        <x:f t="shared" si="16">IF(OR(E62="",I62="",E62="NA",I62="NA"),"",ROUND(IF(E62&gt;I62,E62-I62,0),-1))</x:f>
      </x:c>
      <x:c r="R62" s="18" t="str">
        <x:f t="shared" si="17">IF(OR(F62="",J62="",F62="NA",J62="NA"),"",ROUND(IF(F62&gt;J62,F62-J62,0),-1))</x:f>
      </x:c>
      <x:c r="S62" s="17"/>
      <x:c r="T62" s="18" t="str">
        <x:f t="shared" si="18"/>
        <x:v>No Action</x:v>
      </x:c>
      <x:c r="U62" s="19"/>
    </x:row>
    <x:row r="63" ht="17.25" customHeight="1">
      <x:c r="A63" s="13"/>
      <x:c r="B63" s="14"/>
      <x:c r="C63" s="15"/>
      <x:c r="D63" s="15"/>
      <x:c r="E63" s="15"/>
      <x:c r="F63" s="15"/>
      <x:c r="G63" s="16"/>
      <x:c r="H63" s="16"/>
      <x:c r="I63" s="17"/>
      <x:c r="J63" s="17"/>
      <x:c r="K63" s="18" t="str">
        <x:f t="shared" si="10">IF(OR(C63="",E63="",C63="NA",E63="NA"),"",ROUND(C63-E63,-1))</x:f>
      </x:c>
      <x:c r="L63" s="18" t="str">
        <x:f t="shared" si="11">IF(OR(D63="",F63="",D63="NA",F63="NA"),"",ROUND(D63-F63,-1))</x:f>
      </x:c>
      <x:c r="M63" s="18" t="str">
        <x:f t="shared" si="12">IF(OR(C63="",G63="",C63="NA",G63="NA"),"",ROUND(C63-G63,-1))</x:f>
      </x:c>
      <x:c r="N63" s="18" t="str">
        <x:f t="shared" si="13">IF(OR(D63="",H63="",D63="NA",H63="NA"),"",ROUND(D63-H63,-1))</x:f>
      </x:c>
      <x:c r="O63" s="18" t="str">
        <x:f t="shared" si="14">IF(OR(E63="",G63="",E63="NA",G63="NA"),"",ROUND(E63-G63,-1))</x:f>
      </x:c>
      <x:c r="P63" s="18" t="str">
        <x:f t="shared" si="15">IF(OR(F63="",H63="",F63="NA",H63="NA"),"",ROUND(F63-H63,-1))</x:f>
      </x:c>
      <x:c r="Q63" s="18" t="str">
        <x:f t="shared" si="16">IF(OR(E63="",I63="",E63="NA",I63="NA"),"",ROUND(IF(E63&gt;I63,E63-I63,0),-1))</x:f>
      </x:c>
      <x:c r="R63" s="18" t="str">
        <x:f t="shared" si="17">IF(OR(F63="",J63="",F63="NA",J63="NA"),"",ROUND(IF(F63&gt;J63,F63-J63,0),-1))</x:f>
      </x:c>
      <x:c r="S63" s="17"/>
      <x:c r="T63" s="18" t="str">
        <x:f t="shared" si="18"/>
        <x:v>No Action</x:v>
      </x:c>
      <x:c r="U63" s="19"/>
    </x:row>
    <x:row r="64" ht="17.25" customHeight="1">
      <x:c r="A64" s="13"/>
      <x:c r="B64" s="14"/>
      <x:c r="C64" s="16"/>
      <x:c r="D64" s="16"/>
      <x:c r="E64" s="15"/>
      <x:c r="F64" s="15"/>
      <x:c r="G64" s="16"/>
      <x:c r="H64" s="16"/>
      <x:c r="I64" s="17"/>
      <x:c r="J64" s="17"/>
      <x:c r="K64" s="18" t="str">
        <x:f t="shared" si="10">IF(OR(C64="",E64="",C64="NA",E64="NA"),"",ROUND(C64-E64,-1))</x:f>
      </x:c>
      <x:c r="L64" s="18" t="str">
        <x:f t="shared" si="11">IF(OR(D64="",F64="",D64="NA",F64="NA"),"",ROUND(D64-F64,-1))</x:f>
      </x:c>
      <x:c r="M64" s="18" t="str">
        <x:f t="shared" si="12">IF(OR(C64="",G64="",C64="NA",G64="NA"),"",ROUND(C64-G64,-1))</x:f>
      </x:c>
      <x:c r="N64" s="18" t="str">
        <x:f t="shared" si="13">IF(OR(D64="",H64="",D64="NA",H64="NA"),"",ROUND(D64-H64,-1))</x:f>
      </x:c>
      <x:c r="O64" s="18" t="str">
        <x:f t="shared" si="14">IF(OR(E64="",G64="",E64="NA",G64="NA"),"",ROUND(E64-G64,-1))</x:f>
      </x:c>
      <x:c r="P64" s="18" t="str">
        <x:f t="shared" si="15">IF(OR(F64="",H64="",F64="NA",H64="NA"),"",ROUND(F64-H64,-1))</x:f>
      </x:c>
      <x:c r="Q64" s="18" t="str">
        <x:f t="shared" si="16">IF(OR(E64="",I64="",E64="NA",I64="NA"),"",ROUND(IF(E64&gt;I64,E64-I64,0),-1))</x:f>
      </x:c>
      <x:c r="R64" s="18" t="str">
        <x:f t="shared" si="17">IF(OR(F64="",J64="",F64="NA",J64="NA"),"",ROUND(IF(F64&gt;J64,F64-J64,0),-1))</x:f>
      </x:c>
      <x:c r="S64" s="17"/>
      <x:c r="T64" s="18" t="str">
        <x:f t="shared" si="18"/>
        <x:v>No Action</x:v>
      </x:c>
      <x:c r="U64" s="19"/>
    </x:row>
    <x:row r="65" ht="17.25" customHeight="1">
      <x:c r="A65" s="13"/>
      <x:c r="B65" s="14"/>
      <x:c r="C65" s="16"/>
      <x:c r="D65" s="16"/>
      <x:c r="E65" s="15"/>
      <x:c r="F65" s="15"/>
      <x:c r="G65" s="16"/>
      <x:c r="H65" s="16"/>
      <x:c r="I65" s="17"/>
      <x:c r="J65" s="17"/>
      <x:c r="K65" s="18" t="str">
        <x:f t="shared" si="10">IF(OR(C65="",E65="",C65="NA",E65="NA"),"",ROUND(C65-E65,-1))</x:f>
      </x:c>
      <x:c r="L65" s="18" t="str">
        <x:f t="shared" si="11">IF(OR(D65="",F65="",D65="NA",F65="NA"),"",ROUND(D65-F65,-1))</x:f>
      </x:c>
      <x:c r="M65" s="18" t="str">
        <x:f t="shared" si="12">IF(OR(C65="",G65="",C65="NA",G65="NA"),"",ROUND(C65-G65,-1))</x:f>
      </x:c>
      <x:c r="N65" s="18" t="str">
        <x:f t="shared" si="13">IF(OR(D65="",H65="",D65="NA",H65="NA"),"",ROUND(D65-H65,-1))</x:f>
      </x:c>
      <x:c r="O65" s="18" t="str">
        <x:f t="shared" si="14">IF(OR(E65="",G65="",E65="NA",G65="NA"),"",ROUND(E65-G65,-1))</x:f>
      </x:c>
      <x:c r="P65" s="18" t="str">
        <x:f t="shared" si="15">IF(OR(F65="",H65="",F65="NA",H65="NA"),"",ROUND(F65-H65,-1))</x:f>
      </x:c>
      <x:c r="Q65" s="18" t="str">
        <x:f t="shared" si="16">IF(OR(E65="",I65="",E65="NA",I65="NA"),"",ROUND(IF(E65&gt;I65,E65-I65,0),-1))</x:f>
      </x:c>
      <x:c r="R65" s="18" t="str">
        <x:f t="shared" si="17">IF(OR(F65="",J65="",F65="NA",J65="NA"),"",ROUND(IF(F65&gt;J65,F65-J65,0),-1))</x:f>
      </x:c>
      <x:c r="S65" s="17"/>
      <x:c r="T65" s="18" t="str">
        <x:f t="shared" si="18"/>
        <x:v>No Action</x:v>
      </x:c>
      <x:c r="U65" s="19"/>
    </x:row>
    <x:row r="66" ht="17.25" customHeight="1">
      <x:c r="A66" s="13"/>
      <x:c r="B66" s="20"/>
      <x:c r="C66" s="21"/>
      <x:c r="D66" s="21"/>
      <x:c r="E66" s="16"/>
      <x:c r="F66" s="16"/>
      <x:c r="G66" s="21"/>
      <x:c r="H66" s="16"/>
      <x:c r="I66" s="22"/>
      <x:c r="J66" s="22"/>
      <x:c r="K66" s="18"/>
      <x:c r="L66" s="18"/>
      <x:c r="M66" s="18"/>
      <x:c r="N66" s="18"/>
      <x:c r="O66" s="18"/>
      <x:c r="P66" s="18"/>
      <x:c r="Q66" s="18"/>
      <x:c r="R66" s="18"/>
      <x:c r="S66" s="17"/>
      <x:c r="T66" s="18"/>
      <x:c r="U66" s="23"/>
    </x:row>
    <x:row r="67" ht="17.25" customHeight="1">
      <x:c r="A67" s="13"/>
      <x:c r="B67" s="20"/>
      <x:c r="C67" s="21"/>
      <x:c r="D67" s="21"/>
      <x:c r="E67" s="16"/>
      <x:c r="F67" s="16"/>
      <x:c r="G67" s="21"/>
      <x:c r="H67" s="16"/>
      <x:c r="I67" s="22"/>
      <x:c r="J67" s="22"/>
      <x:c r="K67" s="18"/>
      <x:c r="L67" s="18"/>
      <x:c r="M67" s="18"/>
      <x:c r="N67" s="18"/>
      <x:c r="O67" s="18"/>
      <x:c r="P67" s="18"/>
      <x:c r="Q67" s="18"/>
      <x:c r="R67" s="18"/>
      <x:c r="S67" s="17"/>
      <x:c r="T67" s="18"/>
      <x:c r="U67" s="23"/>
    </x:row>
    <x:row r="68" ht="17.25" customHeight="1">
      <x:c r="A68" s="13"/>
      <x:c r="B68" s="20"/>
      <x:c r="C68" s="21"/>
      <x:c r="D68" s="21"/>
      <x:c r="E68" s="16"/>
      <x:c r="F68" s="16"/>
      <x:c r="G68" s="21"/>
      <x:c r="H68" s="16"/>
      <x:c r="I68" s="22"/>
      <x:c r="J68" s="22"/>
      <x:c r="K68" s="18"/>
      <x:c r="L68" s="18"/>
      <x:c r="M68" s="18"/>
      <x:c r="N68" s="18"/>
      <x:c r="O68" s="18"/>
      <x:c r="P68" s="18"/>
      <x:c r="Q68" s="18"/>
      <x:c r="R68" s="18"/>
      <x:c r="S68" s="17"/>
      <x:c r="T68" s="18"/>
      <x:c r="U68" s="23"/>
    </x:row>
    <x:row r="69" ht="17.25" customHeight="1">
      <x:c r="A69" s="13"/>
      <x:c r="B69" s="20"/>
      <x:c r="C69" s="21"/>
      <x:c r="D69" s="21"/>
      <x:c r="E69" s="16"/>
      <x:c r="F69" s="16"/>
      <x:c r="G69" s="21"/>
      <x:c r="H69" s="16"/>
      <x:c r="I69" s="22"/>
      <x:c r="J69" s="22"/>
      <x:c r="K69" s="18"/>
      <x:c r="L69" s="18"/>
      <x:c r="M69" s="18"/>
      <x:c r="N69" s="18"/>
      <x:c r="O69" s="18"/>
      <x:c r="P69" s="18"/>
      <x:c r="Q69" s="18"/>
      <x:c r="R69" s="18"/>
      <x:c r="S69" s="17"/>
      <x:c r="T69" s="18"/>
      <x:c r="U69" s="23"/>
    </x:row>
    <x:row r="70" ht="17.25" customHeight="1">
      <x:c r="A70" s="13"/>
      <x:c r="B70" s="20"/>
      <x:c r="C70" s="21"/>
      <x:c r="D70" s="21"/>
      <x:c r="E70" s="16"/>
      <x:c r="F70" s="16"/>
      <x:c r="G70" s="21"/>
      <x:c r="H70" s="16"/>
      <x:c r="I70" s="22"/>
      <x:c r="J70" s="22"/>
      <x:c r="K70" s="18"/>
      <x:c r="L70" s="18"/>
      <x:c r="M70" s="18"/>
      <x:c r="N70" s="18"/>
      <x:c r="O70" s="18"/>
      <x:c r="P70" s="18"/>
      <x:c r="Q70" s="18"/>
      <x:c r="R70" s="18"/>
      <x:c r="S70" s="17"/>
      <x:c r="T70" s="18"/>
      <x:c r="U70" s="23"/>
    </x:row>
    <x:row r="71" ht="17.25" customHeight="1">
      <x:c r="A71" s="13"/>
      <x:c r="B71" s="20"/>
      <x:c r="C71" s="21"/>
      <x:c r="D71" s="21"/>
      <x:c r="E71" s="16"/>
      <x:c r="F71" s="16"/>
      <x:c r="G71" s="21"/>
      <x:c r="H71" s="16"/>
      <x:c r="I71" s="22"/>
      <x:c r="J71" s="22"/>
      <x:c r="K71" s="18"/>
      <x:c r="L71" s="18"/>
      <x:c r="M71" s="18"/>
      <x:c r="N71" s="18"/>
      <x:c r="O71" s="18"/>
      <x:c r="P71" s="18"/>
      <x:c r="Q71" s="18"/>
      <x:c r="R71" s="18"/>
      <x:c r="S71" s="17"/>
      <x:c r="T71" s="18"/>
      <x:c r="U71" s="23"/>
    </x:row>
    <x:row r="72" ht="17.25" customHeight="1">
      <x:c r="A72" s="13"/>
      <x:c r="B72" s="20"/>
      <x:c r="C72" s="21"/>
      <x:c r="D72" s="21"/>
      <x:c r="E72" s="16"/>
      <x:c r="F72" s="16"/>
      <x:c r="G72" s="21"/>
      <x:c r="H72" s="16"/>
      <x:c r="I72" s="22"/>
      <x:c r="J72" s="22"/>
      <x:c r="K72" s="18"/>
      <x:c r="L72" s="18"/>
      <x:c r="M72" s="18"/>
      <x:c r="N72" s="18"/>
      <x:c r="O72" s="18"/>
      <x:c r="P72" s="18"/>
      <x:c r="Q72" s="18"/>
      <x:c r="R72" s="18"/>
      <x:c r="S72" s="17"/>
      <x:c r="T72" s="18"/>
      <x:c r="U72" s="23"/>
    </x:row>
    <x:row r="73" ht="17.25" customHeight="1">
      <x:c r="A73" s="13"/>
      <x:c r="B73" s="20"/>
      <x:c r="C73" s="21"/>
      <x:c r="D73" s="21"/>
      <x:c r="E73" s="16"/>
      <x:c r="F73" s="16"/>
      <x:c r="G73" s="21"/>
      <x:c r="H73" s="16"/>
      <x:c r="I73" s="22"/>
      <x:c r="J73" s="22"/>
      <x:c r="K73" s="18"/>
      <x:c r="L73" s="18"/>
      <x:c r="M73" s="18"/>
      <x:c r="N73" s="18"/>
      <x:c r="O73" s="18"/>
      <x:c r="P73" s="18"/>
      <x:c r="Q73" s="18"/>
      <x:c r="R73" s="18"/>
      <x:c r="S73" s="17"/>
      <x:c r="T73" s="18"/>
      <x:c r="U73" s="23"/>
    </x:row>
    <x:row r="74" ht="17.25" customHeight="1">
      <x:c r="A74" s="13"/>
      <x:c r="B74" s="20"/>
      <x:c r="C74" s="21"/>
      <x:c r="D74" s="21"/>
      <x:c r="E74" s="16"/>
      <x:c r="F74" s="16"/>
      <x:c r="G74" s="21"/>
      <x:c r="H74" s="16"/>
      <x:c r="I74" s="22"/>
      <x:c r="J74" s="22"/>
      <x:c r="K74" s="18"/>
      <x:c r="L74" s="18"/>
      <x:c r="M74" s="18"/>
      <x:c r="N74" s="18"/>
      <x:c r="O74" s="18"/>
      <x:c r="P74" s="18"/>
      <x:c r="Q74" s="18"/>
      <x:c r="R74" s="18"/>
      <x:c r="S74" s="17"/>
      <x:c r="T74" s="18"/>
      <x:c r="U74" s="23"/>
    </x:row>
    <x:row r="75" ht="17.25" customHeight="1">
      <x:c r="A75" s="13"/>
      <x:c r="B75" s="20"/>
      <x:c r="C75" s="21"/>
      <x:c r="D75" s="21"/>
      <x:c r="E75" s="16"/>
      <x:c r="F75" s="16"/>
      <x:c r="G75" s="21"/>
      <x:c r="H75" s="16"/>
      <x:c r="I75" s="22"/>
      <x:c r="J75" s="22"/>
      <x:c r="K75" s="18"/>
      <x:c r="L75" s="18"/>
      <x:c r="M75" s="18"/>
      <x:c r="N75" s="18"/>
      <x:c r="O75" s="18"/>
      <x:c r="P75" s="18"/>
      <x:c r="Q75" s="18"/>
      <x:c r="R75" s="18"/>
      <x:c r="S75" s="17"/>
      <x:c r="T75" s="18"/>
      <x:c r="U75" s="23"/>
    </x:row>
    <x:row r="76" ht="17.25" customHeight="1">
      <x:c r="A76" s="13"/>
      <x:c r="B76" s="20"/>
      <x:c r="C76" s="21"/>
      <x:c r="D76" s="21"/>
      <x:c r="E76" s="16"/>
      <x:c r="F76" s="16"/>
      <x:c r="G76" s="21"/>
      <x:c r="H76" s="16"/>
      <x:c r="I76" s="22"/>
      <x:c r="J76" s="22"/>
      <x:c r="K76" s="18"/>
      <x:c r="L76" s="18"/>
      <x:c r="M76" s="18"/>
      <x:c r="N76" s="18"/>
      <x:c r="O76" s="18"/>
      <x:c r="P76" s="18"/>
      <x:c r="Q76" s="18"/>
      <x:c r="R76" s="18"/>
      <x:c r="S76" s="17"/>
      <x:c r="T76" s="18"/>
      <x:c r="U76" s="23"/>
    </x:row>
    <x:row r="77" ht="17.25" customHeight="1">
      <x:c r="A77" s="13"/>
      <x:c r="B77" s="20"/>
      <x:c r="C77" s="21"/>
      <x:c r="D77" s="21"/>
      <x:c r="E77" s="16"/>
      <x:c r="F77" s="16"/>
      <x:c r="G77" s="21"/>
      <x:c r="H77" s="16"/>
      <x:c r="I77" s="22"/>
      <x:c r="J77" s="22"/>
      <x:c r="K77" s="18"/>
      <x:c r="L77" s="18"/>
      <x:c r="M77" s="18"/>
      <x:c r="N77" s="18"/>
      <x:c r="O77" s="18"/>
      <x:c r="P77" s="18"/>
      <x:c r="Q77" s="18"/>
      <x:c r="R77" s="18"/>
      <x:c r="S77" s="17"/>
      <x:c r="T77" s="18"/>
      <x:c r="U77" s="23"/>
    </x:row>
    <x:row r="78" ht="17.25" customHeight="1">
      <x:c r="A78" s="13"/>
      <x:c r="B78" s="20"/>
      <x:c r="C78" s="21"/>
      <x:c r="D78" s="21"/>
      <x:c r="E78" s="16"/>
      <x:c r="F78" s="16"/>
      <x:c r="G78" s="21"/>
      <x:c r="H78" s="16"/>
      <x:c r="I78" s="22"/>
      <x:c r="J78" s="22"/>
      <x:c r="K78" s="18"/>
      <x:c r="L78" s="18"/>
      <x:c r="M78" s="18"/>
      <x:c r="N78" s="18"/>
      <x:c r="O78" s="18"/>
      <x:c r="P78" s="18"/>
      <x:c r="Q78" s="18"/>
      <x:c r="R78" s="18"/>
      <x:c r="S78" s="17"/>
      <x:c r="T78" s="18"/>
      <x:c r="U78" s="23"/>
    </x:row>
    <x:row r="79" ht="17.25" customHeight="1">
      <x:c r="A79" s="13"/>
      <x:c r="B79" s="20"/>
      <x:c r="C79" s="21"/>
      <x:c r="D79" s="21"/>
      <x:c r="E79" s="16"/>
      <x:c r="F79" s="16"/>
      <x:c r="G79" s="21"/>
      <x:c r="H79" s="16"/>
      <x:c r="I79" s="22"/>
      <x:c r="J79" s="22"/>
      <x:c r="K79" s="18"/>
      <x:c r="L79" s="18"/>
      <x:c r="M79" s="18"/>
      <x:c r="N79" s="18"/>
      <x:c r="O79" s="18"/>
      <x:c r="P79" s="18"/>
      <x:c r="Q79" s="18"/>
      <x:c r="R79" s="18"/>
      <x:c r="S79" s="17"/>
      <x:c r="T79" s="18"/>
      <x:c r="U79" s="23"/>
    </x:row>
    <x:row r="80" ht="17.25" customHeight="1">
      <x:c r="A80" s="13"/>
      <x:c r="B80" s="20"/>
      <x:c r="C80" s="21"/>
      <x:c r="D80" s="21"/>
      <x:c r="E80" s="16"/>
      <x:c r="F80" s="16"/>
      <x:c r="G80" s="21"/>
      <x:c r="H80" s="16"/>
      <x:c r="I80" s="22"/>
      <x:c r="J80" s="22"/>
      <x:c r="K80" s="18"/>
      <x:c r="L80" s="18"/>
      <x:c r="M80" s="18"/>
      <x:c r="N80" s="18"/>
      <x:c r="O80" s="18"/>
      <x:c r="P80" s="18"/>
      <x:c r="Q80" s="18"/>
      <x:c r="R80" s="18"/>
      <x:c r="S80" s="17"/>
      <x:c r="T80" s="18"/>
      <x:c r="U80" s="23"/>
    </x:row>
    <x:row r="81" ht="17.25" customHeight="1">
      <x:c r="A81" s="13"/>
      <x:c r="B81" s="20"/>
      <x:c r="C81" s="21"/>
      <x:c r="D81" s="21"/>
      <x:c r="E81" s="16"/>
      <x:c r="F81" s="16"/>
      <x:c r="G81" s="21"/>
      <x:c r="H81" s="16"/>
      <x:c r="I81" s="22"/>
      <x:c r="J81" s="22"/>
      <x:c r="K81" s="18"/>
      <x:c r="L81" s="18"/>
      <x:c r="M81" s="18"/>
      <x:c r="N81" s="18"/>
      <x:c r="O81" s="18"/>
      <x:c r="P81" s="18"/>
      <x:c r="Q81" s="18"/>
      <x:c r="R81" s="18"/>
      <x:c r="S81" s="17"/>
      <x:c r="T81" s="18"/>
      <x:c r="U81" s="23"/>
    </x:row>
    <x:row r="82" ht="17.25" customHeight="1">
      <x:c r="A82" s="13"/>
      <x:c r="B82" s="20"/>
      <x:c r="C82" s="21"/>
      <x:c r="D82" s="21"/>
      <x:c r="E82" s="16"/>
      <x:c r="F82" s="16"/>
      <x:c r="G82" s="21"/>
      <x:c r="H82" s="16"/>
      <x:c r="I82" s="22"/>
      <x:c r="J82" s="22"/>
      <x:c r="K82" s="18"/>
      <x:c r="L82" s="18"/>
      <x:c r="M82" s="18"/>
      <x:c r="N82" s="18"/>
      <x:c r="O82" s="18"/>
      <x:c r="P82" s="18"/>
      <x:c r="Q82" s="18"/>
      <x:c r="R82" s="18"/>
      <x:c r="S82" s="17"/>
      <x:c r="T82" s="18"/>
      <x:c r="U82" s="23"/>
    </x:row>
    <x:row r="83" ht="17.25" customHeight="1">
      <x:c r="A83" s="13"/>
      <x:c r="B83" s="20"/>
      <x:c r="C83" s="21"/>
      <x:c r="D83" s="21"/>
      <x:c r="E83" s="16"/>
      <x:c r="F83" s="16"/>
      <x:c r="G83" s="21"/>
      <x:c r="H83" s="16"/>
      <x:c r="I83" s="22"/>
      <x:c r="J83" s="22"/>
      <x:c r="K83" s="18"/>
      <x:c r="L83" s="18"/>
      <x:c r="M83" s="18"/>
      <x:c r="N83" s="18"/>
      <x:c r="O83" s="18"/>
      <x:c r="P83" s="18"/>
      <x:c r="Q83" s="18"/>
      <x:c r="R83" s="18"/>
      <x:c r="S83" s="17"/>
      <x:c r="T83" s="18"/>
      <x:c r="U83" s="23"/>
    </x:row>
    <x:row r="84" ht="17.25" customHeight="1">
      <x:c r="A84" s="13"/>
      <x:c r="B84" s="20"/>
      <x:c r="C84" s="21"/>
      <x:c r="D84" s="21"/>
      <x:c r="E84" s="16"/>
      <x:c r="F84" s="16"/>
      <x:c r="G84" s="21"/>
      <x:c r="H84" s="16"/>
      <x:c r="I84" s="22"/>
      <x:c r="J84" s="22"/>
      <x:c r="K84" s="18"/>
      <x:c r="L84" s="18"/>
      <x:c r="M84" s="18"/>
      <x:c r="N84" s="18"/>
      <x:c r="O84" s="18"/>
      <x:c r="P84" s="18"/>
      <x:c r="Q84" s="18"/>
      <x:c r="R84" s="18"/>
      <x:c r="S84" s="17"/>
      <x:c r="T84" s="18"/>
      <x:c r="U84" s="23"/>
    </x:row>
    <x:row r="85" ht="17.25" customHeight="1">
      <x:c r="A85" s="13"/>
      <x:c r="B85" s="20"/>
      <x:c r="C85" s="21"/>
      <x:c r="D85" s="21"/>
      <x:c r="E85" s="16"/>
      <x:c r="F85" s="16"/>
      <x:c r="G85" s="21"/>
      <x:c r="H85" s="16"/>
      <x:c r="I85" s="22"/>
      <x:c r="J85" s="22"/>
      <x:c r="K85" s="18"/>
      <x:c r="L85" s="18"/>
      <x:c r="M85" s="18"/>
      <x:c r="N85" s="18"/>
      <x:c r="O85" s="18"/>
      <x:c r="P85" s="18"/>
      <x:c r="Q85" s="18"/>
      <x:c r="R85" s="18"/>
      <x:c r="S85" s="17"/>
      <x:c r="T85" s="18"/>
      <x:c r="U85" s="23"/>
    </x:row>
    <x:row r="86" ht="17.25" customHeight="1">
      <x:c r="A86" s="13"/>
      <x:c r="B86" s="20"/>
      <x:c r="C86" s="21"/>
      <x:c r="D86" s="21"/>
      <x:c r="E86" s="16"/>
      <x:c r="F86" s="16"/>
      <x:c r="G86" s="21"/>
      <x:c r="H86" s="16"/>
      <x:c r="I86" s="22"/>
      <x:c r="J86" s="22"/>
      <x:c r="K86" s="18"/>
      <x:c r="L86" s="18"/>
      <x:c r="M86" s="18"/>
      <x:c r="N86" s="18"/>
      <x:c r="O86" s="18"/>
      <x:c r="P86" s="18"/>
      <x:c r="Q86" s="18"/>
      <x:c r="R86" s="18"/>
      <x:c r="S86" s="17"/>
      <x:c r="T86" s="18"/>
      <x:c r="U86" s="23"/>
    </x:row>
    <x:row r="87" ht="17.25" customHeight="1">
      <x:c r="A87" s="13"/>
      <x:c r="B87" s="20"/>
      <x:c r="C87" s="21"/>
      <x:c r="D87" s="21"/>
      <x:c r="E87" s="16"/>
      <x:c r="F87" s="16"/>
      <x:c r="G87" s="21"/>
      <x:c r="H87" s="16"/>
      <x:c r="I87" s="22"/>
      <x:c r="J87" s="22"/>
      <x:c r="K87" s="18"/>
      <x:c r="L87" s="18"/>
      <x:c r="M87" s="18"/>
      <x:c r="N87" s="18"/>
      <x:c r="O87" s="18"/>
      <x:c r="P87" s="18"/>
      <x:c r="Q87" s="18"/>
      <x:c r="R87" s="18"/>
      <x:c r="S87" s="17"/>
      <x:c r="T87" s="18"/>
      <x:c r="U87" s="23"/>
    </x:row>
    <x:row r="88" ht="17.25" customHeight="1">
      <x:c r="A88" s="13"/>
      <x:c r="B88" s="20"/>
      <x:c r="C88" s="21"/>
      <x:c r="D88" s="21"/>
      <x:c r="E88" s="16"/>
      <x:c r="F88" s="16"/>
      <x:c r="G88" s="21"/>
      <x:c r="H88" s="16"/>
      <x:c r="I88" s="22"/>
      <x:c r="J88" s="22"/>
      <x:c r="K88" s="18"/>
      <x:c r="L88" s="18"/>
      <x:c r="M88" s="18"/>
      <x:c r="N88" s="18"/>
      <x:c r="O88" s="18"/>
      <x:c r="P88" s="18"/>
      <x:c r="Q88" s="18"/>
      <x:c r="R88" s="18"/>
      <x:c r="S88" s="17"/>
      <x:c r="T88" s="18"/>
      <x:c r="U88" s="23"/>
    </x:row>
    <x:row r="89" ht="17.25" customHeight="1">
      <x:c r="A89" s="13"/>
      <x:c r="B89" s="20"/>
      <x:c r="C89" s="21"/>
      <x:c r="D89" s="21"/>
      <x:c r="E89" s="16"/>
      <x:c r="F89" s="16"/>
      <x:c r="G89" s="21"/>
      <x:c r="H89" s="16"/>
      <x:c r="I89" s="22"/>
      <x:c r="J89" s="22"/>
      <x:c r="K89" s="18"/>
      <x:c r="L89" s="18"/>
      <x:c r="M89" s="18"/>
      <x:c r="N89" s="18"/>
      <x:c r="O89" s="18"/>
      <x:c r="P89" s="18"/>
      <x:c r="Q89" s="18"/>
      <x:c r="R89" s="18"/>
      <x:c r="S89" s="17"/>
      <x:c r="T89" s="18"/>
      <x:c r="U89" s="23"/>
    </x:row>
    <x:row r="90" ht="17.25" customHeight="1">
      <x:c r="A90" s="13"/>
      <x:c r="B90" s="20"/>
      <x:c r="C90" s="21"/>
      <x:c r="D90" s="21"/>
      <x:c r="E90" s="16"/>
      <x:c r="F90" s="16"/>
      <x:c r="G90" s="21"/>
      <x:c r="H90" s="16"/>
      <x:c r="I90" s="22"/>
      <x:c r="J90" s="22"/>
      <x:c r="K90" s="18"/>
      <x:c r="L90" s="18"/>
      <x:c r="M90" s="18"/>
      <x:c r="N90" s="18"/>
      <x:c r="O90" s="18"/>
      <x:c r="P90" s="18"/>
      <x:c r="Q90" s="18"/>
      <x:c r="R90" s="18"/>
      <x:c r="S90" s="17"/>
      <x:c r="T90" s="18"/>
      <x:c r="U90" s="23"/>
    </x:row>
    <x:row r="91" ht="17.25" customHeight="1">
      <x:c r="A91" s="13"/>
      <x:c r="B91" s="20"/>
      <x:c r="C91" s="21"/>
      <x:c r="D91" s="21"/>
      <x:c r="E91" s="16"/>
      <x:c r="F91" s="16"/>
      <x:c r="G91" s="21"/>
      <x:c r="H91" s="16"/>
      <x:c r="I91" s="22"/>
      <x:c r="J91" s="22"/>
      <x:c r="K91" s="18"/>
      <x:c r="L91" s="18"/>
      <x:c r="M91" s="18"/>
      <x:c r="N91" s="18"/>
      <x:c r="O91" s="18"/>
      <x:c r="P91" s="18"/>
      <x:c r="Q91" s="18"/>
      <x:c r="R91" s="18"/>
      <x:c r="S91" s="17"/>
      <x:c r="T91" s="18"/>
      <x:c r="U91" s="23"/>
    </x:row>
    <x:row r="92" ht="17.25" customHeight="1">
      <x:c r="A92" s="13"/>
      <x:c r="B92" s="20"/>
      <x:c r="C92" s="21"/>
      <x:c r="D92" s="21"/>
      <x:c r="E92" s="16"/>
      <x:c r="F92" s="16"/>
      <x:c r="G92" s="21"/>
      <x:c r="H92" s="16"/>
      <x:c r="I92" s="22"/>
      <x:c r="J92" s="22"/>
      <x:c r="K92" s="18"/>
      <x:c r="L92" s="18"/>
      <x:c r="M92" s="18"/>
      <x:c r="N92" s="18"/>
      <x:c r="O92" s="18"/>
      <x:c r="P92" s="18"/>
      <x:c r="Q92" s="18"/>
      <x:c r="R92" s="18"/>
      <x:c r="S92" s="17"/>
      <x:c r="T92" s="18"/>
      <x:c r="U92" s="23"/>
    </x:row>
    <x:row r="93" ht="17.25" customHeight="1">
      <x:c r="A93" s="24"/>
      <x:c r="B93" s="25"/>
      <x:c r="C93" s="26"/>
      <x:c r="D93" s="26"/>
      <x:c r="E93" s="26"/>
      <x:c r="F93" s="16"/>
      <x:c r="G93" s="26"/>
      <x:c r="H93" s="16"/>
      <x:c r="I93" s="22"/>
      <x:c r="J93" s="22"/>
      <x:c r="K93" s="18"/>
      <x:c r="L93" s="18"/>
      <x:c r="M93" s="18"/>
      <x:c r="N93" s="18"/>
      <x:c r="O93" s="18"/>
      <x:c r="P93" s="18"/>
      <x:c r="Q93" s="18"/>
      <x:c r="R93" s="18"/>
      <x:c r="S93" s="27"/>
      <x:c r="T93" s="28"/>
      <x:c r="U93" s="29"/>
    </x:row>
    <x:row r="94" s="30" customFormat="1" ht="18" customHeight="1">
      <x:c r="B94" s="31"/>
      <x:c r="C94" s="32"/>
      <x:c r="D94" s="32"/>
      <x:c r="E94" s="32"/>
      <x:c r="F94" s="16"/>
      <x:c r="G94" s="32"/>
      <x:c r="H94" s="16"/>
      <x:c r="I94" s="22"/>
      <x:c r="J94" s="22"/>
      <x:c r="K94" s="18"/>
      <x:c r="L94" s="18"/>
      <x:c r="M94" s="18"/>
      <x:c r="N94" s="18"/>
      <x:c r="O94" s="18"/>
      <x:c r="P94" s="18"/>
      <x:c r="Q94" s="18"/>
      <x:c r="R94" s="18"/>
      <x:c r="S94" s="33"/>
      <x:c r="T94" s="34"/>
      <x:c r="U94" s="35"/>
    </x:row>
    <x:row r="95" s="30" customFormat="1" ht="16.5" customHeight="1">
      <x:c r="B95" s="36"/>
      <x:c r="C95" s="33"/>
      <x:c r="E95" s="32"/>
      <x:c r="F95" s="33"/>
      <x:c r="G95" s="32"/>
      <x:c r="H95" s="16"/>
      <x:c r="I95" s="32"/>
      <x:c r="J95" s="33"/>
      <x:c r="K95" s="18"/>
      <x:c r="L95" s="18"/>
      <x:c r="M95" s="18"/>
      <x:c r="N95" s="18"/>
      <x:c r="O95" s="18"/>
      <x:c r="P95" s="18"/>
      <x:c r="Q95" s="18"/>
      <x:c r="R95" s="18"/>
      <x:c r="S95" s="33"/>
      <x:c r="T95" s="34"/>
      <x:c r="U95" s="35"/>
    </x:row>
    <x:row r="96" s="30" customFormat="1" ht="18" customHeight="1">
      <x:c r="B96" s="31"/>
      <x:c r="C96" s="33"/>
      <x:c r="D96" s="33"/>
      <x:c r="E96" s="33"/>
      <x:c r="F96" s="33"/>
      <x:c r="G96" s="32"/>
      <x:c r="H96" s="16"/>
      <x:c r="I96" s="33"/>
      <x:c r="J96" s="33"/>
      <x:c r="K96" s="18"/>
      <x:c r="L96" s="18"/>
      <x:c r="M96" s="18"/>
      <x:c r="N96" s="18"/>
      <x:c r="O96" s="18"/>
      <x:c r="P96" s="18"/>
      <x:c r="Q96" s="18"/>
      <x:c r="R96" s="18"/>
      <x:c r="S96" s="33"/>
      <x:c r="T96" s="34"/>
      <x:c r="U96" s="35"/>
    </x:row>
    <x:row r="97" s="30" customFormat="1" ht="31.5" customHeight="1">
      <x:c r="B97" s="37"/>
      <x:c r="C97" s="33"/>
      <x:c r="D97" s="33"/>
      <x:c r="E97" s="32"/>
      <x:c r="F97" s="33"/>
      <x:c r="G97" s="33"/>
      <x:c r="H97" s="33"/>
      <x:c r="I97" s="33"/>
      <x:c r="J97" s="33"/>
      <x:c r="K97" s="18"/>
      <x:c r="L97" s="18"/>
      <x:c r="M97" s="18"/>
      <x:c r="N97" s="18"/>
      <x:c r="O97" s="18"/>
      <x:c r="P97" s="18"/>
      <x:c r="Q97" s="18"/>
      <x:c r="R97" s="18"/>
      <x:c r="S97" s="33"/>
      <x:c r="T97" s="34"/>
      <x:c r="U97" s="35"/>
    </x:row>
    <x:row r="98" s="30" customFormat="1" ht="16.5" customHeight="1">
      <x:c r="B98" s="37"/>
      <x:c r="C98" s="33"/>
      <x:c r="D98" s="33"/>
      <x:c r="E98" s="32"/>
      <x:c r="F98" s="33"/>
      <x:c r="G98" s="33"/>
      <x:c r="H98" s="33"/>
      <x:c r="I98" s="33"/>
      <x:c r="J98" s="33"/>
      <x:c r="K98" s="18"/>
      <x:c r="L98" s="18"/>
      <x:c r="M98" s="18"/>
      <x:c r="N98" s="18"/>
      <x:c r="O98" s="18"/>
      <x:c r="P98" s="18"/>
      <x:c r="Q98" s="18"/>
      <x:c r="R98" s="18"/>
      <x:c r="S98" s="33"/>
      <x:c r="T98" s="34"/>
      <x:c r="U98" s="35"/>
    </x:row>
    <x:row r="99" s="30" customFormat="1" ht="16.5" customHeight="1">
      <x:c r="B99" s="37"/>
      <x:c r="C99" s="33"/>
      <x:c r="D99" s="33"/>
      <x:c r="E99" s="33"/>
      <x:c r="F99" s="33"/>
      <x:c r="G99" s="33"/>
      <x:c r="H99" s="33"/>
      <x:c r="I99" s="33"/>
      <x:c r="J99" s="33"/>
      <x:c r="K99" s="18"/>
      <x:c r="L99" s="18"/>
      <x:c r="M99" s="18"/>
      <x:c r="N99" s="18"/>
      <x:c r="O99" s="18"/>
      <x:c r="P99" s="18"/>
      <x:c r="Q99" s="18"/>
      <x:c r="R99" s="18"/>
      <x:c r="S99" s="33"/>
      <x:c r="T99" s="34"/>
      <x:c r="U99" s="35"/>
    </x:row>
    <x:row r="100" s="30" customFormat="1" ht="16.5" customHeight="1">
      <x:c r="B100" s="37"/>
      <x:c r="C100" s="33"/>
      <x:c r="D100" s="33"/>
      <x:c r="E100" s="33"/>
      <x:c r="F100" s="33"/>
      <x:c r="G100" s="33"/>
      <x:c r="H100" s="33"/>
      <x:c r="I100" s="33"/>
      <x:c r="J100" s="33"/>
      <x:c r="K100" s="18"/>
      <x:c r="L100" s="18"/>
      <x:c r="M100" s="18"/>
      <x:c r="N100" s="18"/>
      <x:c r="O100" s="18"/>
      <x:c r="P100" s="18"/>
      <x:c r="Q100" s="18"/>
      <x:c r="R100" s="18"/>
      <x:c r="S100" s="33"/>
      <x:c r="T100" s="34"/>
      <x:c r="U100" s="35"/>
    </x:row>
    <x:row r="101" s="30" customFormat="1" ht="16.5" customHeight="1">
      <x:c r="B101" s="37"/>
      <x:c r="C101" s="33"/>
      <x:c r="D101" s="33"/>
      <x:c r="E101" s="33"/>
      <x:c r="F101" s="33"/>
      <x:c r="G101" s="33"/>
      <x:c r="H101" s="33"/>
      <x:c r="I101" s="33"/>
      <x:c r="J101" s="33"/>
      <x:c r="K101" s="18"/>
      <x:c r="L101" s="18"/>
      <x:c r="M101" s="18"/>
      <x:c r="N101" s="18"/>
      <x:c r="O101" s="18"/>
      <x:c r="P101" s="18"/>
      <x:c r="Q101" s="18"/>
      <x:c r="R101" s="18"/>
      <x:c r="S101" s="33"/>
      <x:c r="T101" s="34"/>
      <x:c r="U101" s="35"/>
    </x:row>
    <x:row r="102" s="30" customFormat="1" ht="16.5" customHeight="1">
      <x:c r="B102" s="37"/>
      <x:c r="C102" s="33"/>
      <x:c r="D102" s="33"/>
      <x:c r="E102" s="33"/>
      <x:c r="F102" s="33"/>
      <x:c r="G102" s="33"/>
      <x:c r="H102" s="33"/>
      <x:c r="I102" s="33"/>
      <x:c r="J102" s="33"/>
      <x:c r="K102" s="18"/>
      <x:c r="L102" s="18"/>
      <x:c r="M102" s="18"/>
      <x:c r="N102" s="18"/>
      <x:c r="O102" s="18"/>
      <x:c r="P102" s="18"/>
      <x:c r="Q102" s="18"/>
      <x:c r="R102" s="18"/>
      <x:c r="S102" s="33"/>
      <x:c r="T102" s="34"/>
      <x:c r="U102" s="35"/>
    </x:row>
    <x:row r="103" s="30" customFormat="1" ht="16.5" customHeight="1">
      <x:c r="B103" s="37"/>
      <x:c r="C103" s="33"/>
      <x:c r="D103" s="33"/>
      <x:c r="E103" s="33"/>
      <x:c r="F103" s="33"/>
      <x:c r="G103" s="33"/>
      <x:c r="H103" s="33"/>
      <x:c r="I103" s="33"/>
      <x:c r="J103" s="33"/>
      <x:c r="K103" s="18"/>
      <x:c r="L103" s="18"/>
      <x:c r="M103" s="18"/>
      <x:c r="N103" s="18"/>
      <x:c r="O103" s="18"/>
      <x:c r="P103" s="18"/>
      <x:c r="Q103" s="18"/>
      <x:c r="R103" s="18"/>
      <x:c r="S103" s="33"/>
      <x:c r="T103" s="34"/>
      <x:c r="U103" s="35"/>
    </x:row>
    <x:row r="104" s="30" customFormat="1" ht="16.5" customHeight="1">
      <x:c r="B104" s="37"/>
      <x:c r="C104" s="33"/>
      <x:c r="D104" s="33"/>
      <x:c r="E104" s="33"/>
      <x:c r="F104" s="33"/>
      <x:c r="G104" s="33"/>
      <x:c r="H104" s="33"/>
      <x:c r="I104" s="33"/>
      <x:c r="J104" s="33"/>
      <x:c r="K104" s="18"/>
      <x:c r="L104" s="18"/>
      <x:c r="M104" s="18"/>
      <x:c r="N104" s="18"/>
      <x:c r="O104" s="18"/>
      <x:c r="P104" s="18"/>
      <x:c r="Q104" s="18"/>
      <x:c r="R104" s="18"/>
      <x:c r="S104" s="33"/>
      <x:c r="T104" s="34"/>
      <x:c r="U104" s="35"/>
    </x:row>
    <x:row r="105" s="30" customFormat="1" ht="16.5" customHeight="1">
      <x:c r="B105" s="37"/>
      <x:c r="C105" s="33"/>
      <x:c r="D105" s="33"/>
      <x:c r="E105" s="33"/>
      <x:c r="F105" s="33"/>
      <x:c r="G105" s="33"/>
      <x:c r="H105" s="33"/>
      <x:c r="I105" s="33"/>
      <x:c r="J105" s="33"/>
      <x:c r="K105" s="18"/>
      <x:c r="L105" s="18"/>
      <x:c r="M105" s="18"/>
      <x:c r="N105" s="18"/>
      <x:c r="O105" s="18"/>
      <x:c r="P105" s="18"/>
      <x:c r="Q105" s="18"/>
      <x:c r="R105" s="18"/>
      <x:c r="S105" s="33"/>
      <x:c r="T105" s="34"/>
      <x:c r="U105" s="35"/>
    </x:row>
    <x:row r="106" ht="15.75" customHeight="1"/>
  </x:sheetData>
  <x:mergeCells>
    <x:mergeCell ref="B5:D5"/>
    <x:mergeCell ref="B6:D6"/>
    <x:mergeCell ref="B7:D7"/>
    <x:mergeCell ref="B8:D8"/>
    <x:mergeCell ref="A10:A11"/>
    <x:mergeCell ref="B10:B11"/>
    <x:mergeCell ref="C10:D10"/>
    <x:mergeCell ref="E10:F10"/>
    <x:mergeCell ref="G10:H10"/>
    <x:mergeCell ref="I10:J10"/>
    <x:mergeCell ref="K10:R10"/>
    <x:mergeCell ref="S10:S11"/>
    <x:mergeCell ref="T10:T11"/>
    <x:mergeCell ref="U10:U11"/>
    <x:mergeCell ref="K11:L11"/>
    <x:mergeCell ref="M11:N11"/>
    <x:mergeCell ref="O11:P11"/>
    <x:mergeCell ref="Q11:R11"/>
  </x:mergeCells>
  <x:conditionalFormatting sqref="B12:B94">
    <x:cfRule type="duplicateValues" dxfId="0" priority="2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6640625" defaultRowHeight="14.399999618530273"/>
  <x:cols>
    <x:col min="1" max="1" width="29.6640625" customWidth="1"/>
    <x:col min="2" max="2" width="24.33203125" customWidth="1"/>
    <x:col min="3" max="3" width="20.44140625" customWidth="1"/>
    <x:col min="4" max="4" width="25.88671875" customWidth="1"/>
    <x:col min="5" max="5" width="22.33203125" customWidth="1"/>
    <x:col min="6" max="6" width="20.88671875" customWidth="1"/>
    <x:col min="7" max="7" width="20" customWidth="1"/>
    <x:col min="8" max="9" width="23.88671875" customWidth="1"/>
    <x:col min="10" max="10" width="14.6640625" customWidth="1"/>
    <x:col min="11" max="11" width="15.44140625" customWidth="1"/>
    <x:col min="12" max="12" width="16.88671875" customWidth="1"/>
    <x:col min="13" max="13" width="16.109375" customWidth="1"/>
    <x:col min="14" max="14" width="17" customWidth="1"/>
    <x:col min="15" max="15" width="17.109375" customWidth="1"/>
    <x:col min="16" max="16" width="19.33203125" customWidth="1"/>
    <x:col min="17" max="17" width="18.109375" customWidth="1"/>
  </x:cols>
  <x:sheetData>
    <x:row r="1" ht="19.5" customHeight="1">
      <x:c r="A1" s="4" t="s">
        <x:v>0</x:v>
      </x:c>
      <x:c r="B1" s="4"/>
      <x:c r="C1" s="4"/>
      <x:c r="D1" s="4"/>
    </x:row>
    <x:row r="2" ht="15.75" customHeight="1"/>
    <x:row r="3" ht="21" customHeight="1">
      <x:c r="A3" s="5" t="s">
        <x:v>22</x:v>
      </x:c>
      <x:c r="B3" s="6"/>
      <x:c r="C3" s="7"/>
    </x:row>
    <x:row r="4" ht="16.5" customHeight="1"/>
    <x:row r="5" ht="15.75" customHeight="1">
      <x:c r="A5" s="8" t="s">
        <x:v>2</x:v>
      </x:c>
      <x:c r="B5" s="54"/>
      <x:c r="C5" s="54"/>
      <x:c r="D5" s="54"/>
    </x:row>
    <x:row r="6" ht="15.75" customHeight="1">
      <x:c r="A6" s="9" t="s">
        <x:v>3</x:v>
      </x:c>
      <x:c r="B6" s="54"/>
      <x:c r="C6" s="54"/>
      <x:c r="D6" s="54"/>
    </x:row>
    <x:row r="7" ht="15.75" customHeight="1">
      <x:c r="A7" s="9" t="s">
        <x:v>4</x:v>
      </x:c>
      <x:c r="B7" s="54"/>
      <x:c r="C7" s="54"/>
      <x:c r="D7" s="54"/>
    </x:row>
    <x:row r="8" ht="15.75" customHeight="1">
      <x:c r="A8" s="9" t="s">
        <x:v>5</x:v>
      </x:c>
      <x:c r="B8" s="54"/>
      <x:c r="C8" s="54"/>
      <x:c r="D8" s="54"/>
    </x:row>
    <x:row r="10" ht="15.75" customHeight="1"/>
    <x:row r="11" ht="15.75" customHeight="1">
      <x:c r="A11" s="55" t="s">
        <x:v>6</x:v>
      </x:c>
      <x:c r="B11" s="48" t="s">
        <x:v>8</x:v>
      </x:c>
      <x:c r="C11" s="48"/>
      <x:c r="D11" s="48" t="s">
        <x:v>9</x:v>
      </x:c>
      <x:c r="E11" s="48"/>
      <x:c r="F11" s="48" t="s">
        <x:v>10</x:v>
      </x:c>
      <x:c r="G11" s="48"/>
      <x:c r="H11" s="48" t="s">
        <x:v>11</x:v>
      </x:c>
      <x:c r="I11" s="48"/>
      <x:c r="J11" s="50" t="s">
        <x:v>12</x:v>
      </x:c>
      <x:c r="K11" s="50"/>
      <x:c r="L11" s="50"/>
      <x:c r="M11" s="50"/>
      <x:c r="N11" s="50"/>
      <x:c r="O11" s="50"/>
      <x:c r="P11" s="50"/>
      <x:c r="Q11" s="50"/>
    </x:row>
    <x:row r="12" ht="15.75" customHeight="1">
      <x:c r="A12" s="55"/>
      <x:c r="B12" s="1" t="s">
        <x:v>16</x:v>
      </x:c>
      <x:c r="C12" s="1" t="s">
        <x:v>17</x:v>
      </x:c>
      <x:c r="D12" s="1" t="s">
        <x:v>16</x:v>
      </x:c>
      <x:c r="E12" s="1" t="s">
        <x:v>17</x:v>
      </x:c>
      <x:c r="F12" s="1" t="s">
        <x:v>16</x:v>
      </x:c>
      <x:c r="G12" s="1" t="s">
        <x:v>17</x:v>
      </x:c>
      <x:c r="H12" s="1" t="s">
        <x:v>16</x:v>
      </x:c>
      <x:c r="I12" s="1" t="s">
        <x:v>17</x:v>
      </x:c>
      <x:c r="J12" s="53" t="s">
        <x:v>18</x:v>
      </x:c>
      <x:c r="K12" s="53"/>
      <x:c r="L12" s="53" t="s">
        <x:v>19</x:v>
      </x:c>
      <x:c r="M12" s="53"/>
      <x:c r="N12" s="53" t="s">
        <x:v>20</x:v>
      </x:c>
      <x:c r="O12" s="53"/>
      <x:c r="P12" s="53" t="s">
        <x:v>23</x:v>
      </x:c>
      <x:c r="Q12" s="53"/>
    </x:row>
    <x:row r="13" ht="15.75" customHeight="1">
      <x:c r="A13" s="38" t="str">
        <x:f>Masters!C2</x:f>
        <x:v>92B - Salaries Receipts</x:v>
      </x:c>
      <x:c r="B13" s="39" t="n">
        <x:f>SUMIF(Reco!$A$12:$A$65,Summary!A13,Reco!$C$12:$C$65)</x:f>
        <x:v>0</x:v>
      </x:c>
      <x:c r="C13" s="39" t="n">
        <x:f>SUMIF(Reco!$A$12:$A$65,Summary!A13,Reco!$D$12:$D$65)</x:f>
        <x:v>0</x:v>
      </x:c>
      <x:c r="D13" s="39" t="n">
        <x:f>SUMIF(Reco!$A$12:$A$65,Summary!A13,Reco!$E$12:$E$65)</x:f>
        <x:v>0</x:v>
      </x:c>
      <x:c r="E13" s="39" t="n">
        <x:f>SUMIF(Reco!$A$12:$A$65,Summary!A13,Reco!$F$12:$F$65)</x:f>
        <x:v>0</x:v>
      </x:c>
      <x:c r="F13" s="39" t="n">
        <x:f>SUMIF(Reco!$A$12:$A$65,Summary!A13,Reco!$G$12:$G$65)</x:f>
        <x:v>0</x:v>
      </x:c>
      <x:c r="G13" s="39" t="n">
        <x:f>SUMIF(Reco!$A$12:$A$65,Summary!A13,Reco!$H$12:$H$65)</x:f>
        <x:v>0</x:v>
      </x:c>
      <x:c r="H13" s="39" t="n">
        <x:f>SUMIF(Reco!$A$12:$A$65,Summary!A13,Reco!$I$12:$I$65)</x:f>
        <x:v>0</x:v>
      </x:c>
      <x:c r="I13" s="40" t="n">
        <x:f>SUMIF(Reco!$A$12:$A$65,Summary!A13,Reco!$J$12:$J$65)</x:f>
        <x:v>0</x:v>
      </x:c>
      <x:c r="J13" s="39" t="str">
        <x:f t="shared" ref="J13:J35" si="0">IF(OR(B13="",D13=""),"",ROUND(B13-D13,-1))</x:f>
      </x:c>
      <x:c r="K13" s="39" t="str">
        <x:f t="shared" ref="K13:K35" si="1">IF(OR(C13="",E13=""),"",ROUND(C13-E13,-1))</x:f>
      </x:c>
      <x:c r="L13" s="39" t="str">
        <x:f t="shared" ref="L13:L35" si="2">IF(OR(B13="",F13=""),"",ROUND(B13-F13,-1))</x:f>
      </x:c>
      <x:c r="M13" s="39" t="str">
        <x:f t="shared" ref="M13:M35" si="3">IF(OR(C13="",G13=""),"",ROUND(C13-G13,-1))</x:f>
      </x:c>
      <x:c r="N13" s="39" t="str">
        <x:f t="shared" ref="N13:N35" si="4">IF(OR(D13="",F13=""),"",ROUND(D13-F13,-1))</x:f>
      </x:c>
      <x:c r="O13" s="39" t="str">
        <x:f t="shared" ref="O13:O35" si="5">IF(OR(E13="",G13=""),"",ROUND(E13-G13,-1))</x:f>
      </x:c>
      <x:c r="P13" s="39" t="str">
        <x:f t="shared" ref="P13:P35" si="6">IF(OR(F13="",H13=""),"",ROUND(F13-H13,-1))</x:f>
      </x:c>
      <x:c r="Q13" s="39" t="str">
        <x:f t="shared" ref="Q13:Q35" si="7">IF(OR(I13="",G13=""),"",ROUND(G13-I13,-1))</x:f>
      </x:c>
    </x:row>
    <x:row r="14" ht="15.75" customHeight="1">
      <x:c r="A14" s="38" t="str">
        <x:f>Masters!C3</x:f>
        <x:v>94C - Contract Receipts</x:v>
      </x:c>
      <x:c r="B14" s="39" t="n">
        <x:f>SUMIF(Reco!$A$12:$A$65,Summary!A14,Reco!$C$12:$C$65)</x:f>
        <x:v>0</x:v>
      </x:c>
      <x:c r="C14" s="39" t="n">
        <x:f>SUMIF(Reco!$A$12:$A$65,Summary!A14,Reco!$D$12:$D$65)</x:f>
        <x:v>0</x:v>
      </x:c>
      <x:c r="D14" s="39" t="n">
        <x:f>SUMIF(Reco!$A$12:$A$65,Summary!A14,Reco!$E$12:$E$65)</x:f>
        <x:v>0</x:v>
      </x:c>
      <x:c r="E14" s="39" t="n">
        <x:f>SUMIF(Reco!$A$12:$A$65,Summary!A14,Reco!$F$12:$F$65)</x:f>
        <x:v>0</x:v>
      </x:c>
      <x:c r="F14" s="39" t="n">
        <x:f>SUMIF(Reco!$A$12:$A$65,Summary!A14,Reco!$G$12:$G$65)</x:f>
        <x:v>0</x:v>
      </x:c>
      <x:c r="G14" s="39" t="n">
        <x:f>SUMIF(Reco!$A$12:$A$65,Summary!A14,Reco!$H$12:$H$65)</x:f>
        <x:v>0</x:v>
      </x:c>
      <x:c r="H14" s="39" t="n">
        <x:f>SUMIF(Reco!$A$12:$A$65,Summary!A14,Reco!$I$12:$I$65)</x:f>
        <x:v>0</x:v>
      </x:c>
      <x:c r="I14" s="40" t="n">
        <x:f>SUMIF(Reco!$A$12:$A$65,Summary!A14,Reco!$J$12:$J$65)</x:f>
        <x:v>0</x:v>
      </x:c>
      <x:c r="J14" s="39" t="str">
        <x:f t="shared" si="0">IF(OR(B14="",D14=""),"",ROUND(B14-D14,-1))</x:f>
      </x:c>
      <x:c r="K14" s="39" t="str">
        <x:f t="shared" si="1">IF(OR(C14="",E14=""),"",ROUND(C14-E14,-1))</x:f>
      </x:c>
      <x:c r="L14" s="39" t="str">
        <x:f t="shared" si="2">IF(OR(B14="",F14=""),"",ROUND(B14-F14,-1))</x:f>
      </x:c>
      <x:c r="M14" s="39" t="str">
        <x:f t="shared" si="3">IF(OR(C14="",G14=""),"",ROUND(C14-G14,-1))</x:f>
      </x:c>
      <x:c r="N14" s="39" t="str">
        <x:f t="shared" si="4">IF(OR(D14="",F14=""),"",ROUND(D14-F14,-1))</x:f>
      </x:c>
      <x:c r="O14" s="39" t="str">
        <x:f t="shared" si="5">IF(OR(E14="",G14=""),"",ROUND(E14-G14,-1))</x:f>
      </x:c>
      <x:c r="P14" s="39" t="str">
        <x:f t="shared" si="6">IF(OR(F14="",H14=""),"",ROUND(F14-H14,-1))</x:f>
      </x:c>
      <x:c r="Q14" s="39" t="str">
        <x:f t="shared" si="7">IF(OR(I14="",G14=""),"",ROUND(G14-I14,-1))</x:f>
      </x:c>
    </x:row>
    <x:row r="15" ht="15.75" customHeight="1">
      <x:c r="A15" s="38" t="str">
        <x:f>Masters!C4</x:f>
        <x:v>94JA - Technical Receipts</x:v>
      </x:c>
      <x:c r="B15" s="39" t="n">
        <x:f>SUMIF(Reco!$A$12:$A$65,Summary!A15,Reco!$C$12:$C$65)</x:f>
        <x:v>0</x:v>
      </x:c>
      <x:c r="C15" s="39" t="n">
        <x:f>SUMIF(Reco!$A$12:$A$65,Summary!A15,Reco!$D$12:$D$65)</x:f>
        <x:v>0</x:v>
      </x:c>
      <x:c r="D15" s="39" t="n">
        <x:f>SUMIF(Reco!$A$12:$A$65,Summary!A15,Reco!$E$12:$E$65)</x:f>
        <x:v>0</x:v>
      </x:c>
      <x:c r="E15" s="39" t="n">
        <x:f>SUMIF(Reco!$A$12:$A$65,Summary!A15,Reco!$F$12:$F$65)</x:f>
        <x:v>0</x:v>
      </x:c>
      <x:c r="F15" s="39" t="n">
        <x:f>SUMIF(Reco!$A$12:$A$65,Summary!A15,Reco!$G$12:$G$65)</x:f>
        <x:v>0</x:v>
      </x:c>
      <x:c r="G15" s="39" t="n">
        <x:f>SUMIF(Reco!$A$12:$A$65,Summary!A15,Reco!$H$12:$H$65)</x:f>
        <x:v>0</x:v>
      </x:c>
      <x:c r="H15" s="39" t="n">
        <x:f>SUMIF(Reco!$A$12:$A$65,Summary!A15,Reco!$I$12:$I$65)</x:f>
        <x:v>0</x:v>
      </x:c>
      <x:c r="I15" s="40" t="n">
        <x:f>SUMIF(Reco!$A$12:$A$65,Summary!A15,Reco!$J$12:$J$65)</x:f>
        <x:v>0</x:v>
      </x:c>
      <x:c r="J15" s="39" t="str">
        <x:f t="shared" si="0">IF(OR(B15="",D15=""),"",ROUND(B15-D15,-1))</x:f>
      </x:c>
      <x:c r="K15" s="39" t="str">
        <x:f t="shared" si="1">IF(OR(C15="",E15=""),"",ROUND(C15-E15,-1))</x:f>
      </x:c>
      <x:c r="L15" s="39" t="str">
        <x:f t="shared" si="2">IF(OR(B15="",F15=""),"",ROUND(B15-F15,-1))</x:f>
      </x:c>
      <x:c r="M15" s="39" t="str">
        <x:f t="shared" si="3">IF(OR(C15="",G15=""),"",ROUND(C15-G15,-1))</x:f>
      </x:c>
      <x:c r="N15" s="39" t="str">
        <x:f t="shared" si="4">IF(OR(D15="",F15=""),"",ROUND(D15-F15,-1))</x:f>
      </x:c>
      <x:c r="O15" s="39" t="str">
        <x:f t="shared" si="5">IF(OR(E15="",G15=""),"",ROUND(E15-G15,-1))</x:f>
      </x:c>
      <x:c r="P15" s="39" t="str">
        <x:f t="shared" si="6">IF(OR(F15="",H15=""),"",ROUND(F15-H15,-1))</x:f>
      </x:c>
      <x:c r="Q15" s="39" t="str">
        <x:f t="shared" si="7">IF(OR(I15="",G15=""),"",ROUND(G15-I15,-1))</x:f>
      </x:c>
    </x:row>
    <x:row r="16" ht="15.75" customHeight="1">
      <x:c r="A16" s="38" t="str">
        <x:f>Masters!C5</x:f>
        <x:v>94JB - Professional Receipts</x:v>
      </x:c>
      <x:c r="B16" s="39" t="n">
        <x:f>SUMIF(Reco!$A$12:$A$65,Summary!A16,Reco!$C$12:$C$65)</x:f>
        <x:v>0</x:v>
      </x:c>
      <x:c r="C16" s="39" t="n">
        <x:f>SUMIF(Reco!$A$12:$A$65,Summary!A16,Reco!$D$12:$D$65)</x:f>
        <x:v>0</x:v>
      </x:c>
      <x:c r="D16" s="39" t="n">
        <x:f>SUMIF(Reco!$A$12:$A$65,Summary!A16,Reco!$E$12:$E$65)</x:f>
        <x:v>0</x:v>
      </x:c>
      <x:c r="E16" s="39" t="n">
        <x:f>SUMIF(Reco!$A$12:$A$65,Summary!A16,Reco!$F$12:$F$65)</x:f>
        <x:v>0</x:v>
      </x:c>
      <x:c r="F16" s="39" t="n">
        <x:f>SUMIF(Reco!$A$12:$A$65,Summary!A16,Reco!$G$12:$G$65)</x:f>
        <x:v>0</x:v>
      </x:c>
      <x:c r="G16" s="39" t="n">
        <x:f>SUMIF(Reco!$A$12:$A$65,Summary!A16,Reco!$H$12:$H$65)</x:f>
        <x:v>0</x:v>
      </x:c>
      <x:c r="H16" s="39" t="n">
        <x:f>SUMIF(Reco!$A$12:$A$65,Summary!A16,Reco!$I$12:$I$65)</x:f>
        <x:v>0</x:v>
      </x:c>
      <x:c r="I16" s="40" t="n">
        <x:f>SUMIF(Reco!$A$12:$A$65,Summary!A16,Reco!$J$12:$J$65)</x:f>
        <x:v>0</x:v>
      </x:c>
      <x:c r="J16" s="39" t="str">
        <x:f t="shared" si="0">IF(OR(B16="",D16=""),"",ROUND(B16-D16,-1))</x:f>
      </x:c>
      <x:c r="K16" s="39" t="str">
        <x:f t="shared" si="1">IF(OR(C16="",E16=""),"",ROUND(C16-E16,-1))</x:f>
      </x:c>
      <x:c r="L16" s="39" t="str">
        <x:f t="shared" si="2">IF(OR(B16="",F16=""),"",ROUND(B16-F16,-1))</x:f>
      </x:c>
      <x:c r="M16" s="39" t="str">
        <x:f t="shared" si="3">IF(OR(C16="",G16=""),"",ROUND(C16-G16,-1))</x:f>
      </x:c>
      <x:c r="N16" s="39" t="str">
        <x:f t="shared" si="4">IF(OR(D16="",F16=""),"",ROUND(D16-F16,-1))</x:f>
      </x:c>
      <x:c r="O16" s="39" t="str">
        <x:f t="shared" si="5">IF(OR(E16="",G16=""),"",ROUND(E16-G16,-1))</x:f>
      </x:c>
      <x:c r="P16" s="39" t="str">
        <x:f t="shared" si="6">IF(OR(F16="",H16=""),"",ROUND(F16-H16,-1))</x:f>
      </x:c>
      <x:c r="Q16" s="39" t="str">
        <x:f t="shared" si="7">IF(OR(I16="",G16=""),"",ROUND(G16-I16,-1))</x:f>
      </x:c>
    </x:row>
    <x:row r="17" ht="15.75" customHeight="1">
      <x:c r="A17" s="38" t="str">
        <x:f>Masters!C6</x:f>
        <x:v>94IA - Rent Receipts (P &amp; M) </x:v>
      </x:c>
      <x:c r="B17" s="39" t="n">
        <x:f>SUMIF(Reco!$A$12:$A$65,Summary!A17,Reco!$C$12:$C$65)</x:f>
        <x:v>0</x:v>
      </x:c>
      <x:c r="C17" s="39" t="n">
        <x:f>SUMIF(Reco!$A$12:$A$65,Summary!A17,Reco!$D$12:$D$65)</x:f>
        <x:v>0</x:v>
      </x:c>
      <x:c r="D17" s="39" t="n">
        <x:f>SUMIF(Reco!$A$12:$A$65,Summary!A17,Reco!$E$12:$E$65)</x:f>
        <x:v>0</x:v>
      </x:c>
      <x:c r="E17" s="39" t="n">
        <x:f>SUMIF(Reco!$A$12:$A$65,Summary!A17,Reco!$F$12:$F$65)</x:f>
        <x:v>0</x:v>
      </x:c>
      <x:c r="F17" s="39" t="n">
        <x:f>SUMIF(Reco!$A$12:$A$65,Summary!A17,Reco!$G$12:$G$65)</x:f>
        <x:v>0</x:v>
      </x:c>
      <x:c r="G17" s="39" t="n">
        <x:f>SUMIF(Reco!$A$12:$A$65,Summary!A17,Reco!$H$12:$H$65)</x:f>
        <x:v>0</x:v>
      </x:c>
      <x:c r="H17" s="39" t="n">
        <x:f>SUMIF(Reco!$A$12:$A$65,Summary!A17,Reco!$I$12:$I$65)</x:f>
        <x:v>0</x:v>
      </x:c>
      <x:c r="I17" s="40" t="n">
        <x:f>SUMIF(Reco!$A$12:$A$65,Summary!A17,Reco!$J$12:$J$65)</x:f>
        <x:v>0</x:v>
      </x:c>
      <x:c r="J17" s="39" t="str">
        <x:f t="shared" si="0">IF(OR(B17="",D17=""),"",ROUND(B17-D17,-1))</x:f>
      </x:c>
      <x:c r="K17" s="39" t="str">
        <x:f t="shared" si="1">IF(OR(C17="",E17=""),"",ROUND(C17-E17,-1))</x:f>
      </x:c>
      <x:c r="L17" s="39" t="str">
        <x:f t="shared" si="2">IF(OR(B17="",F17=""),"",ROUND(B17-F17,-1))</x:f>
      </x:c>
      <x:c r="M17" s="39" t="str">
        <x:f t="shared" si="3">IF(OR(C17="",G17=""),"",ROUND(C17-G17,-1))</x:f>
      </x:c>
      <x:c r="N17" s="39" t="str">
        <x:f t="shared" si="4">IF(OR(D17="",F17=""),"",ROUND(D17-F17,-1))</x:f>
      </x:c>
      <x:c r="O17" s="39" t="str">
        <x:f t="shared" si="5">IF(OR(E17="",G17=""),"",ROUND(E17-G17,-1))</x:f>
      </x:c>
      <x:c r="P17" s="39" t="str">
        <x:f t="shared" si="6">IF(OR(F17="",H17=""),"",ROUND(F17-H17,-1))</x:f>
      </x:c>
      <x:c r="Q17" s="39" t="str">
        <x:f t="shared" si="7">IF(OR(I17="",G17=""),"",ROUND(G17-I17,-1))</x:f>
      </x:c>
    </x:row>
    <x:row r="18" ht="15.75" customHeight="1">
      <x:c r="A18" s="38" t="str">
        <x:f>Masters!C7</x:f>
        <x:v>94IB - Rent Receipts (L &amp; B) </x:v>
      </x:c>
      <x:c r="B18" s="39" t="n">
        <x:f>SUMIF(Reco!$A$12:$A$65,Summary!A18,Reco!$C$12:$C$65)</x:f>
        <x:v>0</x:v>
      </x:c>
      <x:c r="C18" s="39" t="n">
        <x:f>SUMIF(Reco!$A$12:$A$65,Summary!A18,Reco!$D$12:$D$65)</x:f>
        <x:v>0</x:v>
      </x:c>
      <x:c r="D18" s="39" t="n">
        <x:f>SUMIF(Reco!$A$12:$A$65,Summary!A18,Reco!$E$12:$E$65)</x:f>
        <x:v>0</x:v>
      </x:c>
      <x:c r="E18" s="39" t="n">
        <x:f>SUMIF(Reco!$A$12:$A$65,Summary!A18,Reco!$F$12:$F$65)</x:f>
        <x:v>0</x:v>
      </x:c>
      <x:c r="F18" s="39" t="n">
        <x:f>SUMIF(Reco!$A$12:$A$65,Summary!A18,Reco!$G$12:$G$65)</x:f>
        <x:v>0</x:v>
      </x:c>
      <x:c r="G18" s="39" t="n">
        <x:f>SUMIF(Reco!$A$12:$A$65,Summary!A18,Reco!$H$12:$H$65)</x:f>
        <x:v>0</x:v>
      </x:c>
      <x:c r="H18" s="39" t="n">
        <x:f>SUMIF(Reco!$A$12:$A$65,Summary!A18,Reco!$I$12:$I$65)</x:f>
        <x:v>0</x:v>
      </x:c>
      <x:c r="I18" s="40" t="n">
        <x:f>SUMIF(Reco!$A$12:$A$65,Summary!A18,Reco!$J$12:$J$65)</x:f>
        <x:v>0</x:v>
      </x:c>
      <x:c r="J18" s="39" t="str">
        <x:f t="shared" si="0">IF(OR(B18="",D18=""),"",ROUND(B18-D18,-1))</x:f>
      </x:c>
      <x:c r="K18" s="39" t="str">
        <x:f t="shared" si="1">IF(OR(C18="",E18=""),"",ROUND(C18-E18,-1))</x:f>
      </x:c>
      <x:c r="L18" s="39" t="str">
        <x:f t="shared" si="2">IF(OR(B18="",F18=""),"",ROUND(B18-F18,-1))</x:f>
      </x:c>
      <x:c r="M18" s="39" t="str">
        <x:f t="shared" si="3">IF(OR(C18="",G18=""),"",ROUND(C18-G18,-1))</x:f>
      </x:c>
      <x:c r="N18" s="39" t="str">
        <x:f t="shared" si="4">IF(OR(D18="",F18=""),"",ROUND(D18-F18,-1))</x:f>
      </x:c>
      <x:c r="O18" s="39" t="str">
        <x:f t="shared" si="5">IF(OR(E18="",G18=""),"",ROUND(E18-G18,-1))</x:f>
      </x:c>
      <x:c r="P18" s="39" t="str">
        <x:f t="shared" si="6">IF(OR(F18="",H18=""),"",ROUND(F18-H18,-1))</x:f>
      </x:c>
      <x:c r="Q18" s="39" t="str">
        <x:f t="shared" si="7">IF(OR(I18="",G18=""),"",ROUND(G18-I18,-1))</x:f>
      </x:c>
    </x:row>
    <x:row r="19" ht="15.75" customHeight="1">
      <x:c r="A19" s="38" t="str">
        <x:f>Masters!C8</x:f>
        <x:v>94A - Interest Receipts</x:v>
      </x:c>
      <x:c r="B19" s="39" t="n">
        <x:f>SUMIF(Reco!$A$12:$A$65,Summary!A19,Reco!$C$12:$C$65)</x:f>
        <x:v>0</x:v>
      </x:c>
      <x:c r="C19" s="39" t="n">
        <x:f>SUMIF(Reco!$A$12:$A$65,Summary!A19,Reco!$D$12:$D$65)</x:f>
        <x:v>0</x:v>
      </x:c>
      <x:c r="D19" s="39" t="n">
        <x:f>SUMIF(Reco!$A$12:$A$65,Summary!A19,Reco!$E$12:$E$65)</x:f>
        <x:v>0</x:v>
      </x:c>
      <x:c r="E19" s="39" t="n">
        <x:f>SUMIF(Reco!$A$12:$A$65,Summary!A19,Reco!$F$12:$F$65)</x:f>
        <x:v>0</x:v>
      </x:c>
      <x:c r="F19" s="39" t="n">
        <x:f>SUMIF(Reco!$A$12:$A$65,Summary!A19,Reco!$G$12:$G$65)</x:f>
        <x:v>0</x:v>
      </x:c>
      <x:c r="G19" s="39" t="n">
        <x:f>SUMIF(Reco!$A$12:$A$65,Summary!A19,Reco!$H$12:$H$65)</x:f>
        <x:v>0</x:v>
      </x:c>
      <x:c r="H19" s="39" t="n">
        <x:f>SUMIF(Reco!$A$12:$A$65,Summary!A19,Reco!$I$12:$I$65)</x:f>
        <x:v>0</x:v>
      </x:c>
      <x:c r="I19" s="40" t="n">
        <x:f>SUMIF(Reco!$A$12:$A$65,Summary!A19,Reco!$J$12:$J$65)</x:f>
        <x:v>0</x:v>
      </x:c>
      <x:c r="J19" s="39" t="str">
        <x:f t="shared" si="0">IF(OR(B19="",D19=""),"",ROUND(B19-D19,-1))</x:f>
      </x:c>
      <x:c r="K19" s="39" t="str">
        <x:f t="shared" si="1">IF(OR(C19="",E19=""),"",ROUND(C19-E19,-1))</x:f>
      </x:c>
      <x:c r="L19" s="39" t="str">
        <x:f t="shared" si="2">IF(OR(B19="",F19=""),"",ROUND(B19-F19,-1))</x:f>
      </x:c>
      <x:c r="M19" s="39" t="str">
        <x:f t="shared" si="3">IF(OR(C19="",G19=""),"",ROUND(C19-G19,-1))</x:f>
      </x:c>
      <x:c r="N19" s="39" t="str">
        <x:f t="shared" si="4">IF(OR(D19="",F19=""),"",ROUND(D19-F19,-1))</x:f>
      </x:c>
      <x:c r="O19" s="39" t="str">
        <x:f t="shared" si="5">IF(OR(E19="",G19=""),"",ROUND(E19-G19,-1))</x:f>
      </x:c>
      <x:c r="P19" s="39" t="str">
        <x:f t="shared" si="6">IF(OR(F19="",H19=""),"",ROUND(F19-H19,-1))</x:f>
      </x:c>
      <x:c r="Q19" s="39" t="str">
        <x:f t="shared" si="7">IF(OR(I19="",G19=""),"",ROUND(G19-I19,-1))</x:f>
      </x:c>
    </x:row>
    <x:row r="20" ht="15.75" customHeight="1">
      <x:c r="A20" s="38" t="str">
        <x:f>Masters!C9</x:f>
        <x:v>94Q - Purchases</x:v>
      </x:c>
      <x:c r="B20" s="39" t="n">
        <x:f>SUMIF(Reco!$A$12:$A$65,Summary!A20,Reco!$C$12:$C$65)</x:f>
        <x:v>0</x:v>
      </x:c>
      <x:c r="C20" s="39" t="n">
        <x:f>SUMIF(Reco!$A$12:$A$65,Summary!A20,Reco!$D$12:$D$65)</x:f>
        <x:v>0</x:v>
      </x:c>
      <x:c r="D20" s="39" t="n">
        <x:f>SUMIF(Reco!$A$12:$A$65,Summary!A20,Reco!$E$12:$E$65)</x:f>
        <x:v>0</x:v>
      </x:c>
      <x:c r="E20" s="39" t="n">
        <x:f>SUMIF(Reco!$A$12:$A$65,Summary!A20,Reco!$F$12:$F$65)</x:f>
        <x:v>0</x:v>
      </x:c>
      <x:c r="F20" s="39" t="n">
        <x:f>SUMIF(Reco!$A$12:$A$65,Summary!A20,Reco!$G$12:$G$65)</x:f>
        <x:v>0</x:v>
      </x:c>
      <x:c r="G20" s="39" t="n">
        <x:f>SUMIF(Reco!$A$12:$A$65,Summary!A20,Reco!$H$12:$H$65)</x:f>
        <x:v>0</x:v>
      </x:c>
      <x:c r="H20" s="39" t="n">
        <x:f>SUMIF(Reco!$A$12:$A$65,Summary!A20,Reco!$I$12:$I$65)</x:f>
        <x:v>0</x:v>
      </x:c>
      <x:c r="I20" s="40" t="n">
        <x:f>SUMIF(Reco!$A$12:$A$65,Summary!A20,Reco!$J$12:$J$65)</x:f>
        <x:v>0</x:v>
      </x:c>
      <x:c r="J20" s="39" t="str">
        <x:f t="shared" si="0">IF(OR(B20="",D20=""),"",ROUND(B20-D20,-1))</x:f>
      </x:c>
      <x:c r="K20" s="39" t="str">
        <x:f t="shared" si="1">IF(OR(C20="",E20=""),"",ROUND(C20-E20,-1))</x:f>
      </x:c>
      <x:c r="L20" s="39" t="str">
        <x:f t="shared" si="2">IF(OR(B20="",F20=""),"",ROUND(B20-F20,-1))</x:f>
      </x:c>
      <x:c r="M20" s="39" t="str">
        <x:f t="shared" si="3">IF(OR(C20="",G20=""),"",ROUND(C20-G20,-1))</x:f>
      </x:c>
      <x:c r="N20" s="39" t="str">
        <x:f t="shared" si="4">IF(OR(D20="",F20=""),"",ROUND(D20-F20,-1))</x:f>
      </x:c>
      <x:c r="O20" s="39" t="str">
        <x:f t="shared" si="5">IF(OR(E20="",G20=""),"",ROUND(E20-G20,-1))</x:f>
      </x:c>
      <x:c r="P20" s="39" t="str">
        <x:f t="shared" si="6">IF(OR(F20="",H20=""),"",ROUND(F20-H20,-1))</x:f>
      </x:c>
      <x:c r="Q20" s="39" t="str">
        <x:f t="shared" si="7">IF(OR(I20="",G20=""),"",ROUND(G20-I20,-1))</x:f>
      </x:c>
    </x:row>
    <x:row r="21" ht="15.75" customHeight="1">
      <x:c r="A21" s="38" t="str">
        <x:f>Masters!C10</x:f>
        <x:v>94H - Commission Receipts</x:v>
      </x:c>
      <x:c r="B21" s="39" t="n">
        <x:f>SUMIF(Reco!$A$12:$A$65,Summary!A21,Reco!$C$12:$C$65)</x:f>
        <x:v>0</x:v>
      </x:c>
      <x:c r="C21" s="39" t="n">
        <x:f>SUMIF(Reco!$A$12:$A$65,Summary!A21,Reco!$D$12:$D$65)</x:f>
        <x:v>0</x:v>
      </x:c>
      <x:c r="D21" s="39" t="n">
        <x:f>SUMIF(Reco!$A$12:$A$65,Summary!A21,Reco!$E$12:$E$65)</x:f>
        <x:v>0</x:v>
      </x:c>
      <x:c r="E21" s="39" t="n">
        <x:f>SUMIF(Reco!$A$12:$A$65,Summary!A21,Reco!$F$12:$F$65)</x:f>
        <x:v>0</x:v>
      </x:c>
      <x:c r="F21" s="39" t="n">
        <x:f>SUMIF(Reco!$A$12:$A$65,Summary!A21,Reco!$G$12:$G$65)</x:f>
        <x:v>0</x:v>
      </x:c>
      <x:c r="G21" s="39" t="n">
        <x:f>SUMIF(Reco!$A$12:$A$65,Summary!A21,Reco!$H$12:$H$65)</x:f>
        <x:v>0</x:v>
      </x:c>
      <x:c r="H21" s="39" t="n">
        <x:f>SUMIF(Reco!$A$12:$A$65,Summary!A21,Reco!$I$12:$I$65)</x:f>
        <x:v>0</x:v>
      </x:c>
      <x:c r="I21" s="40" t="n">
        <x:f>SUMIF(Reco!$A$12:$A$65,Summary!A21,Reco!$J$12:$J$65)</x:f>
        <x:v>0</x:v>
      </x:c>
      <x:c r="J21" s="39" t="str">
        <x:f t="shared" si="0">IF(OR(B21="",D21=""),"",ROUND(B21-D21,-1))</x:f>
      </x:c>
      <x:c r="K21" s="39" t="str">
        <x:f t="shared" si="1">IF(OR(C21="",E21=""),"",ROUND(C21-E21,-1))</x:f>
      </x:c>
      <x:c r="L21" s="39" t="str">
        <x:f t="shared" si="2">IF(OR(B21="",F21=""),"",ROUND(B21-F21,-1))</x:f>
      </x:c>
      <x:c r="M21" s="39" t="str">
        <x:f t="shared" si="3">IF(OR(C21="",G21=""),"",ROUND(C21-G21,-1))</x:f>
      </x:c>
      <x:c r="N21" s="39" t="str">
        <x:f t="shared" si="4">IF(OR(D21="",F21=""),"",ROUND(D21-F21,-1))</x:f>
      </x:c>
      <x:c r="O21" s="39" t="str">
        <x:f t="shared" si="5">IF(OR(E21="",G21=""),"",ROUND(E21-G21,-1))</x:f>
      </x:c>
      <x:c r="P21" s="39" t="str">
        <x:f t="shared" si="6">IF(OR(F21="",H21=""),"",ROUND(F21-H21,-1))</x:f>
      </x:c>
      <x:c r="Q21" s="39" t="str">
        <x:f t="shared" si="7">IF(OR(I21="",G21=""),"",ROUND(G21-I21,-1))</x:f>
      </x:c>
    </x:row>
    <x:row r="22" ht="15.75" customHeight="1">
      <x:c r="A22" s="38" t="str">
        <x:f>Masters!C11</x:f>
        <x:v>94L - Property Transactions</x:v>
      </x:c>
      <x:c r="B22" s="39" t="n">
        <x:f>SUMIF(Reco!$A$12:$A$65,Summary!A22,Reco!$C$12:$C$65)</x:f>
        <x:v>0</x:v>
      </x:c>
      <x:c r="C22" s="39" t="n">
        <x:f>SUMIF(Reco!$A$12:$A$65,Summary!A22,Reco!$D$12:$D$65)</x:f>
        <x:v>0</x:v>
      </x:c>
      <x:c r="D22" s="39" t="n">
        <x:f>SUMIF(Reco!$A$12:$A$65,Summary!A22,Reco!$E$12:$E$65)</x:f>
        <x:v>0</x:v>
      </x:c>
      <x:c r="E22" s="39" t="n">
        <x:f>SUMIF(Reco!$A$12:$A$65,Summary!A22,Reco!$F$12:$F$65)</x:f>
        <x:v>0</x:v>
      </x:c>
      <x:c r="F22" s="39" t="n">
        <x:f>SUMIF(Reco!$A$12:$A$65,Summary!A22,Reco!$G$12:$G$65)</x:f>
        <x:v>0</x:v>
      </x:c>
      <x:c r="G22" s="39" t="n">
        <x:f>SUMIF(Reco!$A$12:$A$65,Summary!A22,Reco!$H$12:$H$65)</x:f>
        <x:v>0</x:v>
      </x:c>
      <x:c r="H22" s="39" t="n">
        <x:f>SUMIF(Reco!$A$12:$A$65,Summary!A22,Reco!$I$12:$I$65)</x:f>
        <x:v>0</x:v>
      </x:c>
      <x:c r="I22" s="40" t="n">
        <x:f>SUMIF(Reco!$A$12:$A$65,Summary!A22,Reco!$J$12:$J$65)</x:f>
        <x:v>0</x:v>
      </x:c>
      <x:c r="J22" s="39" t="str">
        <x:f t="shared" si="0">IF(OR(B22="",D22=""),"",ROUND(B22-D22,-1))</x:f>
      </x:c>
      <x:c r="K22" s="39" t="str">
        <x:f t="shared" si="1">IF(OR(C22="",E22=""),"",ROUND(C22-E22,-1))</x:f>
      </x:c>
      <x:c r="L22" s="39" t="str">
        <x:f t="shared" si="2">IF(OR(B22="",F22=""),"",ROUND(B22-F22,-1))</x:f>
      </x:c>
      <x:c r="M22" s="39" t="str">
        <x:f t="shared" si="3">IF(OR(C22="",G22=""),"",ROUND(C22-G22,-1))</x:f>
      </x:c>
      <x:c r="N22" s="39" t="str">
        <x:f t="shared" si="4">IF(OR(D22="",F22=""),"",ROUND(D22-F22,-1))</x:f>
      </x:c>
      <x:c r="O22" s="39" t="str">
        <x:f t="shared" si="5">IF(OR(E22="",G22=""),"",ROUND(E22-G22,-1))</x:f>
      </x:c>
      <x:c r="P22" s="39" t="str">
        <x:f t="shared" si="6">IF(OR(F22="",H22=""),"",ROUND(F22-H22,-1))</x:f>
      </x:c>
      <x:c r="Q22" s="39" t="str">
        <x:f t="shared" si="7">IF(OR(I22="",G22=""),"",ROUND(G22-I22,-1))</x:f>
      </x:c>
    </x:row>
    <x:row r="23" ht="15.75" customHeight="1">
      <x:c r="A23" s="38" t="str">
        <x:f>Masters!C12</x:f>
        <x:v>Purchase of Securities</x:v>
      </x:c>
      <x:c r="B23" s="39" t="n">
        <x:f>SUMIF(Reco!$A$12:$A$65,Summary!A23,Reco!$C$12:$C$65)</x:f>
        <x:v>0</x:v>
      </x:c>
      <x:c r="C23" s="39" t="n">
        <x:f>SUMIF(Reco!$A$12:$A$65,Summary!A23,Reco!$D$12:$D$65)</x:f>
        <x:v>0</x:v>
      </x:c>
      <x:c r="D23" s="39" t="n">
        <x:f>SUMIF(Reco!$A$12:$A$65,Summary!A23,Reco!$E$12:$E$65)</x:f>
        <x:v>0</x:v>
      </x:c>
      <x:c r="E23" s="39" t="n">
        <x:f>SUMIF(Reco!$A$12:$A$65,Summary!A23,Reco!$F$12:$F$65)</x:f>
        <x:v>0</x:v>
      </x:c>
      <x:c r="F23" s="39" t="n">
        <x:f>SUMIF(Reco!$A$12:$A$65,Summary!A23,Reco!$G$12:$G$65)</x:f>
        <x:v>0</x:v>
      </x:c>
      <x:c r="G23" s="39" t="n">
        <x:f>SUMIF(Reco!$A$12:$A$65,Summary!A23,Reco!$H$12:$H$65)</x:f>
        <x:v>0</x:v>
      </x:c>
      <x:c r="H23" s="39" t="n">
        <x:f>SUMIF(Reco!$A$12:$A$65,Summary!A23,Reco!$I$12:$I$65)</x:f>
        <x:v>0</x:v>
      </x:c>
      <x:c r="I23" s="40" t="n">
        <x:f>SUMIF(Reco!$A$12:$A$65,Summary!A23,Reco!$J$12:$J$65)</x:f>
        <x:v>0</x:v>
      </x:c>
      <x:c r="J23" s="39" t="str">
        <x:f t="shared" si="0">IF(OR(B23="",D23=""),"",ROUND(B23-D23,-1))</x:f>
      </x:c>
      <x:c r="K23" s="39" t="str">
        <x:f t="shared" si="1">IF(OR(C23="",E23=""),"",ROUND(C23-E23,-1))</x:f>
      </x:c>
      <x:c r="L23" s="39" t="str">
        <x:f t="shared" si="2">IF(OR(B23="",F23=""),"",ROUND(B23-F23,-1))</x:f>
      </x:c>
      <x:c r="M23" s="39" t="str">
        <x:f t="shared" si="3">IF(OR(C23="",G23=""),"",ROUND(C23-G23,-1))</x:f>
      </x:c>
      <x:c r="N23" s="39" t="str">
        <x:f t="shared" si="4">IF(OR(D23="",F23=""),"",ROUND(D23-F23,-1))</x:f>
      </x:c>
      <x:c r="O23" s="39" t="str">
        <x:f t="shared" si="5">IF(OR(E23="",G23=""),"",ROUND(E23-G23,-1))</x:f>
      </x:c>
      <x:c r="P23" s="39" t="str">
        <x:f t="shared" si="6">IF(OR(F23="",H23=""),"",ROUND(F23-H23,-1))</x:f>
      </x:c>
      <x:c r="Q23" s="39" t="str">
        <x:f t="shared" si="7">IF(OR(I23="",G23=""),"",ROUND(G23-I23,-1))</x:f>
      </x:c>
    </x:row>
    <x:row r="24" ht="15.75" customHeight="1">
      <x:c r="A24" s="38" t="str">
        <x:f>Masters!C13</x:f>
        <x:v>Sale of Securities</x:v>
      </x:c>
      <x:c r="B24" s="39" t="n">
        <x:f>SUMIF(Reco!$A$12:$A$65,Summary!A24,Reco!$C$12:$C$65)</x:f>
        <x:v>0</x:v>
      </x:c>
      <x:c r="C24" s="39" t="n">
        <x:f>SUMIF(Reco!$A$12:$A$65,Summary!A24,Reco!$D$12:$D$65)</x:f>
        <x:v>0</x:v>
      </x:c>
      <x:c r="D24" s="39" t="n">
        <x:f>SUMIF(Reco!$A$12:$A$65,Summary!A24,Reco!$E$12:$E$65)</x:f>
        <x:v>0</x:v>
      </x:c>
      <x:c r="E24" s="39" t="n">
        <x:f>SUMIF(Reco!$A$12:$A$65,Summary!A24,Reco!$F$12:$F$65)</x:f>
        <x:v>0</x:v>
      </x:c>
      <x:c r="F24" s="39" t="n">
        <x:f>SUMIF(Reco!$A$12:$A$65,Summary!A24,Reco!$G$12:$G$65)</x:f>
        <x:v>0</x:v>
      </x:c>
      <x:c r="G24" s="39" t="n">
        <x:f>SUMIF(Reco!$A$12:$A$65,Summary!A24,Reco!$H$12:$H$65)</x:f>
        <x:v>0</x:v>
      </x:c>
      <x:c r="H24" s="39" t="n">
        <x:f>SUMIF(Reco!$A$12:$A$65,Summary!A24,Reco!$I$12:$I$65)</x:f>
        <x:v>0</x:v>
      </x:c>
      <x:c r="I24" s="40" t="n">
        <x:f>SUMIF(Reco!$A$12:$A$65,Summary!A24,Reco!$J$12:$J$65)</x:f>
        <x:v>0</x:v>
      </x:c>
      <x:c r="J24" s="39" t="str">
        <x:f t="shared" si="0">IF(OR(B24="",D24=""),"",ROUND(B24-D24,-1))</x:f>
      </x:c>
      <x:c r="K24" s="39" t="str">
        <x:f t="shared" si="1">IF(OR(C24="",E24=""),"",ROUND(C24-E24,-1))</x:f>
      </x:c>
      <x:c r="L24" s="39" t="str">
        <x:f t="shared" si="2">IF(OR(B24="",F24=""),"",ROUND(B24-F24,-1))</x:f>
      </x:c>
      <x:c r="M24" s="39" t="str">
        <x:f t="shared" si="3">IF(OR(C24="",G24=""),"",ROUND(C24-G24,-1))</x:f>
      </x:c>
      <x:c r="N24" s="39" t="str">
        <x:f t="shared" si="4">IF(OR(D24="",F24=""),"",ROUND(D24-F24,-1))</x:f>
      </x:c>
      <x:c r="O24" s="39" t="str">
        <x:f t="shared" si="5">IF(OR(E24="",G24=""),"",ROUND(E24-G24,-1))</x:f>
      </x:c>
      <x:c r="P24" s="39" t="str">
        <x:f t="shared" si="6">IF(OR(F24="",H24=""),"",ROUND(F24-H24,-1))</x:f>
      </x:c>
      <x:c r="Q24" s="39" t="str">
        <x:f t="shared" si="7">IF(OR(I24="",G24=""),"",ROUND(G24-I24,-1))</x:f>
      </x:c>
    </x:row>
    <x:row r="25" ht="15.75" customHeight="1">
      <x:c r="A25" s="38" t="str">
        <x:f>Masters!C14</x:f>
        <x:v>GST Sales</x:v>
      </x:c>
      <x:c r="B25" s="39" t="n">
        <x:f>SUMIF(Reco!$A$12:$A$65,Summary!A25,Reco!$C$12:$C$65)</x:f>
        <x:v>0</x:v>
      </x:c>
      <x:c r="C25" s="39" t="n">
        <x:f>SUMIF(Reco!$A$12:$A$65,Summary!A25,Reco!$D$12:$D$65)</x:f>
        <x:v>0</x:v>
      </x:c>
      <x:c r="D25" s="39" t="n">
        <x:f>SUMIF(Reco!$A$12:$A$65,Summary!A25,Reco!$E$12:$E$65)</x:f>
        <x:v>0</x:v>
      </x:c>
      <x:c r="E25" s="39" t="n">
        <x:f>SUMIF(Reco!$A$12:$A$65,Summary!A25,Reco!$F$12:$F$65)</x:f>
        <x:v>0</x:v>
      </x:c>
      <x:c r="F25" s="39" t="n">
        <x:f>SUMIF(Reco!$A$12:$A$65,Summary!A25,Reco!$G$12:$G$65)</x:f>
        <x:v>0</x:v>
      </x:c>
      <x:c r="G25" s="39" t="n">
        <x:f>SUMIF(Reco!$A$12:$A$65,Summary!A25,Reco!$H$12:$H$65)</x:f>
        <x:v>0</x:v>
      </x:c>
      <x:c r="H25" s="39" t="n">
        <x:f>SUMIF(Reco!$A$12:$A$65,Summary!A25,Reco!$I$12:$I$65)</x:f>
        <x:v>0</x:v>
      </x:c>
      <x:c r="I25" s="40" t="n">
        <x:f>SUMIF(Reco!$A$12:$A$65,Summary!A25,Reco!$J$12:$J$65)</x:f>
        <x:v>0</x:v>
      </x:c>
      <x:c r="J25" s="39" t="str">
        <x:f t="shared" si="0">IF(OR(B25="",D25=""),"",ROUND(B25-D25,-1))</x:f>
      </x:c>
      <x:c r="K25" s="39" t="str">
        <x:f t="shared" si="1">IF(OR(C25="",E25=""),"",ROUND(C25-E25,-1))</x:f>
      </x:c>
      <x:c r="L25" s="39" t="str">
        <x:f t="shared" si="2">IF(OR(B25="",F25=""),"",ROUND(B25-F25,-1))</x:f>
      </x:c>
      <x:c r="M25" s="39" t="str">
        <x:f t="shared" si="3">IF(OR(C25="",G25=""),"",ROUND(C25-G25,-1))</x:f>
      </x:c>
      <x:c r="N25" s="39" t="str">
        <x:f t="shared" si="4">IF(OR(D25="",F25=""),"",ROUND(D25-F25,-1))</x:f>
      </x:c>
      <x:c r="O25" s="39" t="str">
        <x:f t="shared" si="5">IF(OR(E25="",G25=""),"",ROUND(E25-G25,-1))</x:f>
      </x:c>
      <x:c r="P25" s="39" t="str">
        <x:f t="shared" si="6">IF(OR(F25="",H25=""),"",ROUND(F25-H25,-1))</x:f>
      </x:c>
      <x:c r="Q25" s="39" t="str">
        <x:f t="shared" si="7">IF(OR(I25="",G25=""),"",ROUND(G25-I25,-1))</x:f>
      </x:c>
    </x:row>
    <x:row r="26" ht="15.75" customHeight="1">
      <x:c r="A26" s="38" t="str">
        <x:f>Masters!C15</x:f>
        <x:v>GST Purchases</x:v>
      </x:c>
      <x:c r="B26" s="39" t="n">
        <x:f>SUMIF(Reco!$A$12:$A$65,Summary!A26,Reco!$C$12:$C$65)</x:f>
        <x:v>0</x:v>
      </x:c>
      <x:c r="C26" s="39" t="n">
        <x:f>SUMIF(Reco!$A$12:$A$65,Summary!A26,Reco!$D$12:$D$65)</x:f>
        <x:v>0</x:v>
      </x:c>
      <x:c r="D26" s="39" t="n">
        <x:f>SUMIF(Reco!$A$12:$A$65,Summary!A26,Reco!$E$12:$E$65)</x:f>
        <x:v>0</x:v>
      </x:c>
      <x:c r="E26" s="39" t="n">
        <x:f>SUMIF(Reco!$A$12:$A$65,Summary!A26,Reco!$F$12:$F$65)</x:f>
        <x:v>0</x:v>
      </x:c>
      <x:c r="F26" s="39" t="n">
        <x:f>SUMIF(Reco!$A$12:$A$65,Summary!A26,Reco!$G$12:$G$65)</x:f>
        <x:v>0</x:v>
      </x:c>
      <x:c r="G26" s="39" t="n">
        <x:f>SUMIF(Reco!$A$12:$A$65,Summary!A26,Reco!$H$12:$H$65)</x:f>
        <x:v>0</x:v>
      </x:c>
      <x:c r="H26" s="39" t="n">
        <x:f>SUMIF(Reco!$A$12:$A$65,Summary!A26,Reco!$I$12:$I$65)</x:f>
        <x:v>0</x:v>
      </x:c>
      <x:c r="I26" s="40" t="n">
        <x:f>SUMIF(Reco!$A$12:$A$65,Summary!A26,Reco!$J$12:$J$65)</x:f>
        <x:v>0</x:v>
      </x:c>
      <x:c r="J26" s="39" t="str">
        <x:f t="shared" si="0">IF(OR(B26="",D26=""),"",ROUND(B26-D26,-1))</x:f>
      </x:c>
      <x:c r="K26" s="39" t="str">
        <x:f t="shared" si="1">IF(OR(C26="",E26=""),"",ROUND(C26-E26,-1))</x:f>
      </x:c>
      <x:c r="L26" s="39" t="str">
        <x:f t="shared" si="2">IF(OR(B26="",F26=""),"",ROUND(B26-F26,-1))</x:f>
      </x:c>
      <x:c r="M26" s="39" t="str">
        <x:f t="shared" si="3">IF(OR(C26="",G26=""),"",ROUND(C26-G26,-1))</x:f>
      </x:c>
      <x:c r="N26" s="39" t="str">
        <x:f t="shared" si="4">IF(OR(D26="",F26=""),"",ROUND(D26-F26,-1))</x:f>
      </x:c>
      <x:c r="O26" s="39" t="str">
        <x:f t="shared" si="5">IF(OR(E26="",G26=""),"",ROUND(E26-G26,-1))</x:f>
      </x:c>
      <x:c r="P26" s="39" t="str">
        <x:f t="shared" si="6">IF(OR(F26="",H26=""),"",ROUND(F26-H26,-1))</x:f>
      </x:c>
      <x:c r="Q26" s="39" t="str">
        <x:f t="shared" si="7">IF(OR(I26="",G26=""),"",ROUND(G26-I26,-1))</x:f>
      </x:c>
    </x:row>
    <x:row r="27" ht="15.75" customHeight="1">
      <x:c r="A27" s="38" t="str">
        <x:f>Masters!C16</x:f>
        <x:v>Advance Tax</x:v>
      </x:c>
      <x:c r="B27" s="39" t="n">
        <x:f>SUMIF(Reco!$A$12:$A$65,Summary!A27,Reco!$C$12:$C$65)</x:f>
        <x:v>0</x:v>
      </x:c>
      <x:c r="C27" s="39" t="n">
        <x:f>SUMIF(Reco!$A$12:$A$65,Summary!A27,Reco!$D$12:$D$65)</x:f>
        <x:v>0</x:v>
      </x:c>
      <x:c r="D27" s="39" t="n">
        <x:f>SUMIF(Reco!$A$12:$A$65,Summary!A27,Reco!$E$12:$E$65)</x:f>
        <x:v>0</x:v>
      </x:c>
      <x:c r="E27" s="39" t="n">
        <x:f>SUMIF(Reco!$A$12:$A$65,Summary!A27,Reco!$F$12:$F$65)</x:f>
        <x:v>0</x:v>
      </x:c>
      <x:c r="F27" s="39" t="n">
        <x:f>SUMIF(Reco!$A$12:$A$65,Summary!A27,Reco!$G$12:$G$65)</x:f>
        <x:v>0</x:v>
      </x:c>
      <x:c r="G27" s="39" t="n">
        <x:f>SUMIF(Reco!$A$12:$A$65,Summary!A27,Reco!$H$12:$H$65)</x:f>
        <x:v>0</x:v>
      </x:c>
      <x:c r="H27" s="39" t="n">
        <x:f>SUMIF(Reco!$A$12:$A$65,Summary!A27,Reco!$I$12:$I$65)</x:f>
        <x:v>0</x:v>
      </x:c>
      <x:c r="I27" s="40" t="n">
        <x:f>SUMIF(Reco!$A$12:$A$65,Summary!A27,Reco!$J$12:$J$65)</x:f>
        <x:v>0</x:v>
      </x:c>
      <x:c r="J27" s="39" t="str">
        <x:f t="shared" si="0">IF(OR(B27="",D27=""),"",ROUND(B27-D27,-1))</x:f>
      </x:c>
      <x:c r="K27" s="39" t="str">
        <x:f t="shared" si="1">IF(OR(C27="",E27=""),"",ROUND(C27-E27,-1))</x:f>
      </x:c>
      <x:c r="L27" s="39" t="str">
        <x:f t="shared" si="2">IF(OR(B27="",F27=""),"",ROUND(B27-F27,-1))</x:f>
      </x:c>
      <x:c r="M27" s="39" t="str">
        <x:f t="shared" si="3">IF(OR(C27="",G27=""),"",ROUND(C27-G27,-1))</x:f>
      </x:c>
      <x:c r="N27" s="39" t="str">
        <x:f t="shared" si="4">IF(OR(D27="",F27=""),"",ROUND(D27-F27,-1))</x:f>
      </x:c>
      <x:c r="O27" s="39" t="str">
        <x:f t="shared" si="5">IF(OR(E27="",G27=""),"",ROUND(E27-G27,-1))</x:f>
      </x:c>
      <x:c r="P27" s="39" t="str">
        <x:f t="shared" si="6">IF(OR(F27="",H27=""),"",ROUND(F27-H27,-1))</x:f>
      </x:c>
      <x:c r="Q27" s="39" t="str">
        <x:f t="shared" si="7">IF(OR(I27="",G27=""),"",ROUND(G27-I27,-1))</x:f>
      </x:c>
    </x:row>
    <x:row r="28" ht="15.75" customHeight="1">
      <x:c r="A28" s="38" t="str">
        <x:f>Masters!C17</x:f>
        <x:v>Cash Deposits</x:v>
      </x:c>
      <x:c r="B28" s="39" t="n">
        <x:f>SUMIF(Reco!$A$12:$A$65,Summary!A28,Reco!$C$12:$C$65)</x:f>
        <x:v>0</x:v>
      </x:c>
      <x:c r="C28" s="39" t="n">
        <x:f>SUMIF(Reco!$A$12:$A$65,Summary!A28,Reco!$D$12:$D$65)</x:f>
        <x:v>0</x:v>
      </x:c>
      <x:c r="D28" s="39" t="n">
        <x:f>SUMIF(Reco!$A$12:$A$65,Summary!A28,Reco!$E$12:$E$65)</x:f>
        <x:v>0</x:v>
      </x:c>
      <x:c r="E28" s="39" t="n">
        <x:f>SUMIF(Reco!$A$12:$A$65,Summary!A28,Reco!$F$12:$F$65)</x:f>
        <x:v>0</x:v>
      </x:c>
      <x:c r="F28" s="39" t="n">
        <x:f>SUMIF(Reco!$A$12:$A$65,Summary!A28,Reco!$G$12:$G$65)</x:f>
        <x:v>0</x:v>
      </x:c>
      <x:c r="G28" s="39" t="n">
        <x:f>SUMIF(Reco!$A$12:$A$65,Summary!A28,Reco!$H$12:$H$65)</x:f>
        <x:v>0</x:v>
      </x:c>
      <x:c r="H28" s="39" t="n">
        <x:f>SUMIF(Reco!$A$12:$A$65,Summary!A28,Reco!$I$12:$I$65)</x:f>
        <x:v>0</x:v>
      </x:c>
      <x:c r="I28" s="40" t="n">
        <x:f>SUMIF(Reco!$A$12:$A$65,Summary!A28,Reco!$J$12:$J$65)</x:f>
        <x:v>0</x:v>
      </x:c>
      <x:c r="J28" s="39" t="str">
        <x:f t="shared" si="0">IF(OR(B28="",D28=""),"",ROUND(B28-D28,-1))</x:f>
      </x:c>
      <x:c r="K28" s="39" t="str">
        <x:f t="shared" si="1">IF(OR(C28="",E28=""),"",ROUND(C28-E28,-1))</x:f>
      </x:c>
      <x:c r="L28" s="39" t="str">
        <x:f t="shared" si="2">IF(OR(B28="",F28=""),"",ROUND(B28-F28,-1))</x:f>
      </x:c>
      <x:c r="M28" s="39" t="str">
        <x:f t="shared" si="3">IF(OR(C28="",G28=""),"",ROUND(C28-G28,-1))</x:f>
      </x:c>
      <x:c r="N28" s="39" t="str">
        <x:f t="shared" si="4">IF(OR(D28="",F28=""),"",ROUND(D28-F28,-1))</x:f>
      </x:c>
      <x:c r="O28" s="39" t="str">
        <x:f t="shared" si="5">IF(OR(E28="",G28=""),"",ROUND(E28-G28,-1))</x:f>
      </x:c>
      <x:c r="P28" s="39" t="str">
        <x:f t="shared" si="6">IF(OR(F28="",H28=""),"",ROUND(F28-H28,-1))</x:f>
      </x:c>
      <x:c r="Q28" s="39" t="str">
        <x:f t="shared" si="7">IF(OR(I28="",G28=""),"",ROUND(G28-I28,-1))</x:f>
      </x:c>
    </x:row>
    <x:row r="29" ht="15.75" customHeight="1">
      <x:c r="A29" s="38" t="str">
        <x:f>Masters!C18</x:f>
        <x:v>Cash Withdrawals</x:v>
      </x:c>
      <x:c r="B29" s="39" t="n">
        <x:f>SUMIF(Reco!$A$12:$A$65,Summary!A29,Reco!$C$12:$C$65)</x:f>
        <x:v>0</x:v>
      </x:c>
      <x:c r="C29" s="39" t="n">
        <x:f>SUMIF(Reco!$A$12:$A$65,Summary!A29,Reco!$D$12:$D$65)</x:f>
        <x:v>0</x:v>
      </x:c>
      <x:c r="D29" s="39" t="n">
        <x:f>SUMIF(Reco!$A$12:$A$65,Summary!A29,Reco!$E$12:$E$65)</x:f>
        <x:v>0</x:v>
      </x:c>
      <x:c r="E29" s="39" t="n">
        <x:f>SUMIF(Reco!$A$12:$A$65,Summary!A29,Reco!$F$12:$F$65)</x:f>
        <x:v>0</x:v>
      </x:c>
      <x:c r="F29" s="39" t="n">
        <x:f>SUMIF(Reco!$A$12:$A$65,Summary!A29,Reco!$G$12:$G$65)</x:f>
        <x:v>0</x:v>
      </x:c>
      <x:c r="G29" s="39" t="n">
        <x:f>SUMIF(Reco!$A$12:$A$65,Summary!A29,Reco!$H$12:$H$65)</x:f>
        <x:v>0</x:v>
      </x:c>
      <x:c r="H29" s="39" t="n">
        <x:f>SUMIF(Reco!$A$12:$A$65,Summary!A29,Reco!$I$12:$I$65)</x:f>
        <x:v>0</x:v>
      </x:c>
      <x:c r="I29" s="40" t="n">
        <x:f>SUMIF(Reco!$A$12:$A$65,Summary!A29,Reco!$J$12:$J$65)</x:f>
        <x:v>0</x:v>
      </x:c>
      <x:c r="J29" s="39" t="str">
        <x:f t="shared" si="0">IF(OR(B29="",D29=""),"",ROUND(B29-D29,-1))</x:f>
      </x:c>
      <x:c r="K29" s="39" t="str">
        <x:f t="shared" si="1">IF(OR(C29="",E29=""),"",ROUND(C29-E29,-1))</x:f>
      </x:c>
      <x:c r="L29" s="39" t="str">
        <x:f t="shared" si="2">IF(OR(B29="",F29=""),"",ROUND(B29-F29,-1))</x:f>
      </x:c>
      <x:c r="M29" s="39" t="str">
        <x:f t="shared" si="3">IF(OR(C29="",G29=""),"",ROUND(C29-G29,-1))</x:f>
      </x:c>
      <x:c r="N29" s="39" t="str">
        <x:f t="shared" si="4">IF(OR(D29="",F29=""),"",ROUND(D29-F29,-1))</x:f>
      </x:c>
      <x:c r="O29" s="39" t="str">
        <x:f t="shared" si="5">IF(OR(E29="",G29=""),"",ROUND(E29-G29,-1))</x:f>
      </x:c>
      <x:c r="P29" s="39" t="str">
        <x:f t="shared" si="6">IF(OR(F29="",H29=""),"",ROUND(F29-H29,-1))</x:f>
      </x:c>
      <x:c r="Q29" s="39" t="str">
        <x:f t="shared" si="7">IF(OR(I29="",G29=""),"",ROUND(G29-I29,-1))</x:f>
      </x:c>
    </x:row>
    <x:row r="30" ht="15.75" customHeight="1">
      <x:c r="A30" s="38" t="str">
        <x:f>Masters!C19</x:f>
        <x:v>SAT</x:v>
      </x:c>
      <x:c r="B30" s="39" t="n">
        <x:f>SUMIF(Reco!$A$12:$A$65,Summary!A30,Reco!$C$12:$C$65)</x:f>
        <x:v>0</x:v>
      </x:c>
      <x:c r="C30" s="39" t="n">
        <x:f>SUMIF(Reco!$A$12:$A$65,Summary!A30,Reco!$D$12:$D$65)</x:f>
        <x:v>0</x:v>
      </x:c>
      <x:c r="D30" s="39" t="n">
        <x:f>SUMIF(Reco!$A$12:$A$65,Summary!A30,Reco!$E$12:$E$65)</x:f>
        <x:v>0</x:v>
      </x:c>
      <x:c r="E30" s="39" t="n">
        <x:f>SUMIF(Reco!$A$12:$A$65,Summary!A30,Reco!$F$12:$F$65)</x:f>
        <x:v>0</x:v>
      </x:c>
      <x:c r="F30" s="39" t="n">
        <x:f>SUMIF(Reco!$A$12:$A$65,Summary!A30,Reco!$G$12:$G$65)</x:f>
        <x:v>0</x:v>
      </x:c>
      <x:c r="G30" s="39" t="n">
        <x:f>SUMIF(Reco!$A$12:$A$65,Summary!A30,Reco!$H$12:$H$65)</x:f>
        <x:v>0</x:v>
      </x:c>
      <x:c r="H30" s="39" t="n">
        <x:f>SUMIF(Reco!$A$12:$A$65,Summary!A30,Reco!$I$12:$I$65)</x:f>
        <x:v>0</x:v>
      </x:c>
      <x:c r="I30" s="40" t="n">
        <x:f>SUMIF(Reco!$A$12:$A$65,Summary!A30,Reco!$J$12:$J$65)</x:f>
        <x:v>0</x:v>
      </x:c>
      <x:c r="J30" s="39" t="str">
        <x:f t="shared" si="0">IF(OR(B30="",D30=""),"",ROUND(B30-D30,-1))</x:f>
      </x:c>
      <x:c r="K30" s="39" t="str">
        <x:f t="shared" si="1">IF(OR(C30="",E30=""),"",ROUND(C30-E30,-1))</x:f>
      </x:c>
      <x:c r="L30" s="39" t="str">
        <x:f t="shared" si="2">IF(OR(B30="",F30=""),"",ROUND(B30-F30,-1))</x:f>
      </x:c>
      <x:c r="M30" s="39" t="str">
        <x:f t="shared" si="3">IF(OR(C30="",G30=""),"",ROUND(C30-G30,-1))</x:f>
      </x:c>
      <x:c r="N30" s="39" t="str">
        <x:f t="shared" si="4">IF(OR(D30="",F30=""),"",ROUND(D30-F30,-1))</x:f>
      </x:c>
      <x:c r="O30" s="39" t="str">
        <x:f t="shared" si="5">IF(OR(E30="",G30=""),"",ROUND(E30-G30,-1))</x:f>
      </x:c>
      <x:c r="P30" s="39" t="str">
        <x:f t="shared" si="6">IF(OR(F30="",H30=""),"",ROUND(F30-H30,-1))</x:f>
      </x:c>
      <x:c r="Q30" s="39" t="str">
        <x:f t="shared" si="7">IF(OR(I30="",G30=""),"",ROUND(G30-I30,-1))</x:f>
      </x:c>
    </x:row>
    <x:row r="31" ht="15.75" customHeight="1">
      <x:c r="A31" s="38" t="str">
        <x:f>Masters!C20</x:f>
        <x:v>206CJ - TCS Purchases</x:v>
      </x:c>
      <x:c r="B31" s="39" t="n">
        <x:f>SUMIF(Reco!$A$12:$A$65,Summary!A31,Reco!$C$12:$C$65)</x:f>
        <x:v>0</x:v>
      </x:c>
      <x:c r="C31" s="39" t="n">
        <x:f>SUMIF(Reco!$A$12:$A$65,Summary!A31,Reco!$D$12:$D$65)</x:f>
        <x:v>0</x:v>
      </x:c>
      <x:c r="D31" s="39" t="n">
        <x:f>SUMIF(Reco!$A$12:$A$65,Summary!A31,Reco!$E$12:$E$65)</x:f>
        <x:v>0</x:v>
      </x:c>
      <x:c r="E31" s="39" t="n">
        <x:f>SUMIF(Reco!$A$12:$A$65,Summary!A31,Reco!$F$12:$F$65)</x:f>
        <x:v>0</x:v>
      </x:c>
      <x:c r="F31" s="39" t="n">
        <x:f>SUMIF(Reco!$A$12:$A$65,Summary!A31,Reco!$G$12:$G$65)</x:f>
        <x:v>0</x:v>
      </x:c>
      <x:c r="G31" s="39" t="n">
        <x:f>SUMIF(Reco!$A$12:$A$65,Summary!A31,Reco!$H$12:$H$65)</x:f>
        <x:v>0</x:v>
      </x:c>
      <x:c r="H31" s="39" t="n">
        <x:f>SUMIF(Reco!$A$12:$A$65,Summary!A31,Reco!$I$12:$I$65)</x:f>
        <x:v>0</x:v>
      </x:c>
      <x:c r="I31" s="40" t="n">
        <x:f>SUMIF(Reco!$A$12:$A$65,Summary!A31,Reco!$J$12:$J$65)</x:f>
        <x:v>0</x:v>
      </x:c>
      <x:c r="J31" s="39" t="str">
        <x:f t="shared" si="0">IF(OR(B31="",D31=""),"",ROUND(B31-D31,-1))</x:f>
      </x:c>
      <x:c r="K31" s="39" t="str">
        <x:f t="shared" si="1">IF(OR(C31="",E31=""),"",ROUND(C31-E31,-1))</x:f>
      </x:c>
      <x:c r="L31" s="39" t="str">
        <x:f t="shared" si="2">IF(OR(B31="",F31=""),"",ROUND(B31-F31,-1))</x:f>
      </x:c>
      <x:c r="M31" s="39" t="str">
        <x:f t="shared" si="3">IF(OR(C31="",G31=""),"",ROUND(C31-G31,-1))</x:f>
      </x:c>
      <x:c r="N31" s="39" t="str">
        <x:f t="shared" si="4">IF(OR(D31="",F31=""),"",ROUND(D31-F31,-1))</x:f>
      </x:c>
      <x:c r="O31" s="39" t="str">
        <x:f t="shared" si="5">IF(OR(E31="",G31=""),"",ROUND(E31-G31,-1))</x:f>
      </x:c>
      <x:c r="P31" s="39" t="str">
        <x:f t="shared" si="6">IF(OR(F31="",H31=""),"",ROUND(F31-H31,-1))</x:f>
      </x:c>
      <x:c r="Q31" s="39" t="str">
        <x:f t="shared" si="7">IF(OR(I31="",G31=""),"",ROUND(G31-I31,-1))</x:f>
      </x:c>
    </x:row>
    <x:row r="32" ht="15.75" customHeight="1">
      <x:c r="A32" s="38" t="str">
        <x:f>Masters!C21</x:f>
        <x:v>206CE - TCS Purchases</x:v>
      </x:c>
      <x:c r="B32" s="39" t="n">
        <x:f>SUMIF(Reco!$A$12:$A$65,Summary!A32,Reco!$C$12:$C$65)</x:f>
        <x:v>0</x:v>
      </x:c>
      <x:c r="C32" s="39" t="n">
        <x:f>SUMIF(Reco!$A$12:$A$65,Summary!A32,Reco!$D$12:$D$65)</x:f>
        <x:v>0</x:v>
      </x:c>
      <x:c r="D32" s="39" t="n">
        <x:f>SUMIF(Reco!$A$12:$A$65,Summary!A32,Reco!$E$12:$E$65)</x:f>
        <x:v>0</x:v>
      </x:c>
      <x:c r="E32" s="39" t="n">
        <x:f>SUMIF(Reco!$A$12:$A$65,Summary!A32,Reco!$F$12:$F$65)</x:f>
        <x:v>0</x:v>
      </x:c>
      <x:c r="F32" s="39" t="n">
        <x:f>SUMIF(Reco!$A$12:$A$65,Summary!A32,Reco!$G$12:$G$65)</x:f>
        <x:v>0</x:v>
      </x:c>
      <x:c r="G32" s="39" t="n">
        <x:f>SUMIF(Reco!$A$12:$A$65,Summary!A32,Reco!$H$12:$H$65)</x:f>
        <x:v>0</x:v>
      </x:c>
      <x:c r="H32" s="39" t="n">
        <x:f>SUMIF(Reco!$A$12:$A$65,Summary!A32,Reco!$I$12:$I$65)</x:f>
        <x:v>0</x:v>
      </x:c>
      <x:c r="I32" s="40" t="n">
        <x:f>SUMIF(Reco!$A$12:$A$65,Summary!A32,Reco!$J$12:$J$65)</x:f>
        <x:v>0</x:v>
      </x:c>
      <x:c r="J32" s="39" t="str">
        <x:f t="shared" si="0">IF(OR(B32="",D32=""),"",ROUND(B32-D32,-1))</x:f>
      </x:c>
      <x:c r="K32" s="39" t="str">
        <x:f t="shared" si="1">IF(OR(C32="",E32=""),"",ROUND(C32-E32,-1))</x:f>
      </x:c>
      <x:c r="L32" s="39" t="str">
        <x:f t="shared" si="2">IF(OR(B32="",F32=""),"",ROUND(B32-F32,-1))</x:f>
      </x:c>
      <x:c r="M32" s="39" t="str">
        <x:f t="shared" si="3">IF(OR(C32="",G32=""),"",ROUND(C32-G32,-1))</x:f>
      </x:c>
      <x:c r="N32" s="39" t="str">
        <x:f t="shared" si="4">IF(OR(D32="",F32=""),"",ROUND(D32-F32,-1))</x:f>
      </x:c>
      <x:c r="O32" s="39" t="str">
        <x:f t="shared" si="5">IF(OR(E32="",G32=""),"",ROUND(E32-G32,-1))</x:f>
      </x:c>
      <x:c r="P32" s="39" t="str">
        <x:f t="shared" si="6">IF(OR(F32="",H32=""),"",ROUND(F32-H32,-1))</x:f>
      </x:c>
      <x:c r="Q32" s="39" t="str">
        <x:f t="shared" si="7">IF(OR(I32="",G32=""),"",ROUND(G32-I32,-1))</x:f>
      </x:c>
    </x:row>
    <x:row r="33" ht="15.75" customHeight="1">
      <x:c r="A33" s="38" t="str">
        <x:f>Masters!C22</x:f>
        <x:v>206CL - TCS Purchases</x:v>
      </x:c>
      <x:c r="B33" s="39" t="n">
        <x:f>SUMIF(Reco!$A$12:$A$65,Summary!A33,Reco!$C$12:$C$65)</x:f>
        <x:v>0</x:v>
      </x:c>
      <x:c r="C33" s="39" t="n">
        <x:f>SUMIF(Reco!$A$12:$A$65,Summary!A33,Reco!$D$12:$D$65)</x:f>
        <x:v>0</x:v>
      </x:c>
      <x:c r="D33" s="39" t="n">
        <x:f>SUMIF(Reco!$A$12:$A$65,Summary!A33,Reco!$E$12:$E$65)</x:f>
        <x:v>0</x:v>
      </x:c>
      <x:c r="E33" s="39" t="n">
        <x:f>SUMIF(Reco!$A$12:$A$65,Summary!A33,Reco!$F$12:$F$65)</x:f>
        <x:v>0</x:v>
      </x:c>
      <x:c r="F33" s="39" t="n">
        <x:f>SUMIF(Reco!$A$12:$A$65,Summary!A33,Reco!$G$12:$G$65)</x:f>
        <x:v>0</x:v>
      </x:c>
      <x:c r="G33" s="39" t="n">
        <x:f>SUMIF(Reco!$A$12:$A$65,Summary!A33,Reco!$H$12:$H$65)</x:f>
        <x:v>0</x:v>
      </x:c>
      <x:c r="H33" s="39" t="n">
        <x:f>SUMIF(Reco!$A$12:$A$65,Summary!A33,Reco!$I$12:$I$65)</x:f>
        <x:v>0</x:v>
      </x:c>
      <x:c r="I33" s="40" t="n">
        <x:f>SUMIF(Reco!$A$12:$A$65,Summary!A33,Reco!$J$12:$J$65)</x:f>
        <x:v>0</x:v>
      </x:c>
      <x:c r="J33" s="39" t="str">
        <x:f t="shared" si="0">IF(OR(B33="",D33=""),"",ROUND(B33-D33,-1))</x:f>
      </x:c>
      <x:c r="K33" s="39" t="str">
        <x:f t="shared" si="1">IF(OR(C33="",E33=""),"",ROUND(C33-E33,-1))</x:f>
      </x:c>
      <x:c r="L33" s="39" t="str">
        <x:f t="shared" si="2">IF(OR(B33="",F33=""),"",ROUND(B33-F33,-1))</x:f>
      </x:c>
      <x:c r="M33" s="39" t="str">
        <x:f t="shared" si="3">IF(OR(C33="",G33=""),"",ROUND(C33-G33,-1))</x:f>
      </x:c>
      <x:c r="N33" s="39" t="str">
        <x:f t="shared" si="4">IF(OR(D33="",F33=""),"",ROUND(D33-F33,-1))</x:f>
      </x:c>
      <x:c r="O33" s="39" t="str">
        <x:f t="shared" si="5">IF(OR(E33="",G33=""),"",ROUND(E33-G33,-1))</x:f>
      </x:c>
      <x:c r="P33" s="39" t="str">
        <x:f t="shared" si="6">IF(OR(F33="",H33=""),"",ROUND(F33-H33,-1))</x:f>
      </x:c>
      <x:c r="Q33" s="39" t="str">
        <x:f t="shared" si="7">IF(OR(I33="",G33=""),"",ROUND(G33-I33,-1))</x:f>
      </x:c>
    </x:row>
    <x:row r="34" ht="15.75" customHeight="1">
      <x:c r="A34" s="38" t="str">
        <x:f>Masters!C23</x:f>
        <x:v>206CR-TCS Purchases</x:v>
      </x:c>
      <x:c r="B34" s="39" t="n">
        <x:f>SUMIF(Reco!$A$12:$A$65,Summary!A34,Reco!$C$12:$C$65)</x:f>
        <x:v>0</x:v>
      </x:c>
      <x:c r="C34" s="39" t="n">
        <x:f>SUMIF(Reco!$A$12:$A$65,Summary!A34,Reco!$D$12:$D$65)</x:f>
        <x:v>0</x:v>
      </x:c>
      <x:c r="D34" s="39" t="n">
        <x:f>SUMIF(Reco!$A$12:$A$65,Summary!A34,Reco!$E$12:$E$65)</x:f>
        <x:v>0</x:v>
      </x:c>
      <x:c r="E34" s="39" t="n">
        <x:f>SUMIF(Reco!$A$12:$A$65,Summary!A34,Reco!$F$12:$F$65)</x:f>
        <x:v>0</x:v>
      </x:c>
      <x:c r="F34" s="39" t="n">
        <x:f ca="1">SUMIF(Reco!$A$12:$A$65,Summary!A34,Reco!$G$12:$G$65)</x:f>
        <x:v>0</x:v>
      </x:c>
      <x:c r="G34" s="39" t="n">
        <x:f>SUMIF(Reco!$A$12:$A$65,Summary!A34,Reco!$H$12:$H$65)</x:f>
        <x:v>0</x:v>
      </x:c>
      <x:c r="H34" s="39" t="n">
        <x:f>SUMIF(Reco!$A$12:$A$65,Summary!A34,Reco!$I$12:$I$65)</x:f>
        <x:v>0</x:v>
      </x:c>
      <x:c r="I34" s="40" t="n">
        <x:f>SUMIF(Reco!$A$12:$A$65,Summary!A34,Reco!$J$12:$J$65)</x:f>
        <x:v>0</x:v>
      </x:c>
      <x:c r="J34" s="39" t="str">
        <x:f t="shared" si="0">IF(OR(B34="",D34=""),"",ROUND(B34-D34,-1))</x:f>
      </x:c>
      <x:c r="K34" s="39" t="str">
        <x:f t="shared" si="1">IF(OR(C34="",E34=""),"",ROUND(C34-E34,-1))</x:f>
      </x:c>
      <x:c r="L34" s="39" t="str">
        <x:f t="shared" ca="1" si="2">IF(OR(B34="",F34=""),"",ROUND(B34-F34,-1))</x:f>
      </x:c>
      <x:c r="M34" s="39" t="str">
        <x:f t="shared" si="3">IF(OR(C34="",G34=""),"",ROUND(C34-G34,-1))</x:f>
      </x:c>
      <x:c r="N34" s="39" t="str">
        <x:f t="shared" ca="1" si="4">IF(OR(D34="",F34=""),"",ROUND(D34-F34,-1))</x:f>
      </x:c>
      <x:c r="O34" s="39" t="str">
        <x:f t="shared" si="5">IF(OR(E34="",G34=""),"",ROUND(E34-G34,-1))</x:f>
      </x:c>
      <x:c r="P34" s="39" t="str">
        <x:f t="shared" ca="1" si="6">IF(OR(F34="",H34=""),"",ROUND(F34-H34,-1))</x:f>
      </x:c>
      <x:c r="Q34" s="39" t="str">
        <x:f t="shared" si="7">IF(OR(I34="",G34=""),"",ROUND(G34-I34,-1))</x:f>
      </x:c>
    </x:row>
    <x:row r="35" ht="15.75" customHeight="1">
      <x:c r="A35" s="38" t="str">
        <x:f>Masters!C24</x:f>
        <x:v>94N - Cash Withdrawals</x:v>
      </x:c>
      <x:c r="B35" s="39" t="n">
        <x:f>SUMIF(Reco!$A$12:$A$65,Summary!A35,Reco!$C$12:$C$65)</x:f>
        <x:v>0</x:v>
      </x:c>
      <x:c r="C35" s="39" t="n">
        <x:f>SUMIF(Reco!$A$12:$A$65,Summary!A35,Reco!$D$12:$D$65)</x:f>
        <x:v>0</x:v>
      </x:c>
      <x:c r="D35" s="39" t="n">
        <x:f>SUMIF(Reco!$A$12:$A$65,Summary!A35,Reco!$E$12:$E$65)</x:f>
        <x:v>0</x:v>
      </x:c>
      <x:c r="E35" s="39" t="n">
        <x:f>SUMIF(Reco!$A$12:$A$65,Summary!A35,Reco!$F$12:$F$65)</x:f>
        <x:v>0</x:v>
      </x:c>
      <x:c r="F35" s="39" t="n">
        <x:f ca="1">SUMIF(Reco!$A$12:$A$65,Summary!A35,Reco!$G$12:$G$65)</x:f>
        <x:v>0</x:v>
      </x:c>
      <x:c r="G35" s="39" t="n">
        <x:f>SUMIF(Reco!$A$12:$A$65,Summary!A35,Reco!$H$12:$H$65)</x:f>
        <x:v>0</x:v>
      </x:c>
      <x:c r="H35" s="39" t="n">
        <x:f>SUMIF(Reco!$A$12:$A$65,Summary!A35,Reco!$I$12:$I$65)</x:f>
        <x:v>0</x:v>
      </x:c>
      <x:c r="I35" s="40" t="n">
        <x:f>SUMIF(Reco!$A$12:$A$65,Summary!A35,Reco!$J$12:$J$65)</x:f>
        <x:v>0</x:v>
      </x:c>
      <x:c r="J35" s="39" t="str">
        <x:f t="shared" si="0">IF(OR(B35="",D35=""),"",ROUND(B35-D35,-1))</x:f>
      </x:c>
      <x:c r="K35" s="39" t="str">
        <x:f t="shared" si="1">IF(OR(C35="",E35=""),"",ROUND(C35-E35,-1))</x:f>
      </x:c>
      <x:c r="L35" s="39" t="str">
        <x:f t="shared" ca="1" si="2">IF(OR(B35="",F35=""),"",ROUND(B35-F35,-1))</x:f>
      </x:c>
      <x:c r="M35" s="39" t="str">
        <x:f t="shared" si="3">IF(OR(C35="",G35=""),"",ROUND(C35-G35,-1))</x:f>
      </x:c>
      <x:c r="N35" s="39" t="str">
        <x:f t="shared" ca="1" si="4">IF(OR(D35="",F35=""),"",ROUND(D35-F35,-1))</x:f>
      </x:c>
      <x:c r="O35" s="39" t="str">
        <x:f t="shared" si="5">IF(OR(E35="",G35=""),"",ROUND(E35-G35,-1))</x:f>
      </x:c>
      <x:c r="P35" s="39" t="str">
        <x:f t="shared" ca="1" si="6">IF(OR(F35="",H35=""),"",ROUND(F35-H35,-1))</x:f>
      </x:c>
      <x:c r="Q35" s="39" t="str">
        <x:f t="shared" si="7">IF(OR(I35="",G35=""),"",ROUND(G35-I35,-1))</x:f>
      </x:c>
    </x:row>
    <x:row r="36" ht="15.75" customHeight="1">
      <x:c r="A36" s="41" t="str">
        <x:f>Masters!C25</x:f>
        <x:v>94R - Benefits / Perquisites</x:v>
      </x:c>
      <x:c r="B36" s="42" t="n">
        <x:f t="shared" ref="B36:Q36" si="8">SUMIF(Reco!$A$12:$A$65,Summary!A36,Reco!$C$12:$C$65)</x:f>
        <x:v>0</x:v>
      </x:c>
      <x:c r="C36" s="42" t="n">
        <x:f t="shared" si="8">SUMIF(Reco!$A$12:$A$65,Summary!A36,Reco!$D$12:$D$65)</x:f>
        <x:v>0</x:v>
      </x:c>
      <x:c r="D36" s="42" t="n">
        <x:f t="shared" si="8">SUMIF(Reco!$A$12:$A$65,Summary!A36,Reco!$E$12:$E$65)</x:f>
        <x:v>0</x:v>
      </x:c>
      <x:c r="E36" s="42" t="n">
        <x:f t="shared" si="8">SUMIF(Reco!$A$12:$A$65,Summary!A36,Reco!$F$12:$F$65)</x:f>
        <x:v>0</x:v>
      </x:c>
      <x:c r="F36" s="42" t="n">
        <x:f t="shared" ca="1" si="8">SUMIF(Reco!$A$12:$A$65,Summary!A36,Reco!$G$12:$G$65)</x:f>
        <x:v>0</x:v>
      </x:c>
      <x:c r="G36" s="42" t="n">
        <x:f t="shared" si="8">SUMIF(Reco!$A$12:$A$65,Summary!A36,Reco!$H$12:$H$65)</x:f>
        <x:v>0</x:v>
      </x:c>
      <x:c r="H36" s="42" t="n">
        <x:f t="shared" si="8">SUMIF(Reco!$A$12:$A$65,Summary!A36,Reco!$I$12:$I$65)</x:f>
        <x:v>0</x:v>
      </x:c>
      <x:c r="I36" s="43" t="n">
        <x:f t="shared" si="8">SUMIF(Reco!$A$12:$A$65,Summary!A36,Reco!$J$12:$J$65)</x:f>
        <x:v>0</x:v>
      </x:c>
      <x:c r="J36" s="43" t="str">
        <x:f t="shared" si="8">IF(OR(B36="",D36=""),"",ROUND(B36-D36,-1))</x:f>
      </x:c>
      <x:c r="K36" s="43" t="str">
        <x:f t="shared" si="8">IF(OR(C36="",E36=""),"",ROUND(C36-E36,-1))</x:f>
      </x:c>
      <x:c r="L36" s="43" t="str">
        <x:f t="shared" ca="1" si="8">IF(OR(B36="",F36=""),"",ROUND(B36-F36,-1))</x:f>
      </x:c>
      <x:c r="M36" s="43" t="str">
        <x:f t="shared" si="8">IF(OR(C36="",G36=""),"",ROUND(C36-G36,-1))</x:f>
      </x:c>
      <x:c r="N36" s="43" t="str">
        <x:f t="shared" ca="1" si="8">IF(OR(D36="",F36=""),"",ROUND(D36-F36,-1))</x:f>
      </x:c>
      <x:c r="O36" s="43" t="str">
        <x:f t="shared" si="8">IF(OR(E36="",G36=""),"",ROUND(E36-G36,-1))</x:f>
      </x:c>
      <x:c r="P36" s="43" t="str">
        <x:f t="shared" ca="1" si="8">IF(OR(F36="",H36=""),"",ROUND(F36-H36,-1))</x:f>
      </x:c>
      <x:c r="Q36" s="43" t="str">
        <x:f t="shared" si="8">IF(OR(I36="",G36=""),"",ROUND(G36-I36,-1))</x:f>
      </x:c>
    </x:row>
    <x:row r="37" ht="15" customHeight="1">
      <x:c r="A37" t="str">
        <x:v>TOTAL</x:v>
      </x:c>
      <x:c r="B37" s="44" t="n">
        <x:f>SUM(B13:B36)</x:f>
        <x:v>0</x:v>
      </x:c>
      <x:c r="C37" s="44" t="n">
        <x:f>SUM(C13:C36)</x:f>
        <x:v>0</x:v>
      </x:c>
      <x:c r="D37" s="44" t="n">
        <x:f>SUM(D13:D36)</x:f>
        <x:v>0</x:v>
      </x:c>
      <x:c r="E37" s="44" t="n">
        <x:f>SUM(E13:E36)</x:f>
        <x:v>0</x:v>
      </x:c>
      <x:c r="F37" s="44" t="n">
        <x:f ca="1">SUM(F13:F36)</x:f>
        <x:v>0</x:v>
      </x:c>
      <x:c r="G37" s="44" t="n">
        <x:f>SUM(G13:G36)</x:f>
        <x:v>0</x:v>
      </x:c>
      <x:c r="H37" s="44" t="n">
        <x:f>SUM(H13:H36)</x:f>
        <x:v>0</x:v>
      </x:c>
      <x:c r="I37" s="44" t="n">
        <x:f>SUM(I13:I36)</x:f>
        <x:v>0</x:v>
      </x:c>
      <x:c r="J37" t="n">
        <x:f>SUM(J13:J36)</x:f>
        <x:v>0</x:v>
      </x:c>
      <x:c r="K37" t="n">
        <x:f>SUM(K13:K36)</x:f>
        <x:v>0</x:v>
      </x:c>
      <x:c r="L37" t="n">
        <x:f>SUM(L13:L36)</x:f>
        <x:v>0</x:v>
      </x:c>
      <x:c r="M37" t="n">
        <x:f>SUM(M13:M36)</x:f>
        <x:v>0</x:v>
      </x:c>
      <x:c r="N37" t="n">
        <x:f>SUM(N13:N36)</x:f>
        <x:v>0</x:v>
      </x:c>
      <x:c r="O37" t="n">
        <x:f>SUM(O13:O36)</x:f>
        <x:v>0</x:v>
      </x:c>
      <x:c r="P37" t="n">
        <x:f>SUM(P13:P36)</x:f>
        <x:v>0</x:v>
      </x:c>
      <x:c r="Q37" t="n">
        <x:f>SUM(Q13:Q36)</x:f>
        <x:v>0</x:v>
      </x:c>
    </x:row>
  </x:sheetData>
  <x:mergeCells>
    <x:mergeCell ref="B5:D5"/>
    <x:mergeCell ref="B6:D6"/>
    <x:mergeCell ref="B7:D7"/>
    <x:mergeCell ref="B8:D8"/>
    <x:mergeCell ref="A11:A12"/>
    <x:mergeCell ref="B11:C11"/>
    <x:mergeCell ref="D11:E11"/>
    <x:mergeCell ref="F11:G11"/>
    <x:mergeCell ref="H11:I11"/>
    <x:mergeCell ref="J11:Q11"/>
    <x:mergeCell ref="J12:K12"/>
    <x:mergeCell ref="L12:M12"/>
    <x:mergeCell ref="N12:O12"/>
    <x:mergeCell ref="P12:Q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8.6640625" defaultRowHeight="14.399999618530273"/>
  <x:cols>
    <x:col min="3" max="3" width="18.5546875" customWidth="1"/>
  </x:cols>
  <x:sheetData>
    <x:row r="2" ht="15" customHeight="1">
      <x:c r="A2" t="s">
        <x:v>24</x:v>
      </x:c>
      <x:c r="C2" t="s">
        <x:v>25</x:v>
      </x:c>
      <x:c r="E2" t="s">
        <x:v>26</x:v>
      </x:c>
      <x:c r="G2" t="s">
        <x:v>27</x:v>
      </x:c>
    </x:row>
    <x:row r="3" ht="15" customHeight="1">
      <x:c r="A3" t="s">
        <x:v>28</x:v>
      </x:c>
      <x:c r="C3" t="s">
        <x:v>29</x:v>
      </x:c>
      <x:c r="E3" t="s">
        <x:v>30</x:v>
      </x:c>
      <x:c r="G3" t="s">
        <x:v>31</x:v>
      </x:c>
    </x:row>
    <x:row r="4" ht="15" customHeight="1">
      <x:c r="A4" t="s">
        <x:v>32</x:v>
      </x:c>
      <x:c r="C4" t="s">
        <x:v>33</x:v>
      </x:c>
      <x:c r="E4" t="s">
        <x:v>34</x:v>
      </x:c>
      <x:c r="G4" t="s">
        <x:v>35</x:v>
      </x:c>
    </x:row>
    <x:row r="5" ht="15" customHeight="1">
      <x:c r="A5" t="s">
        <x:v>36</x:v>
      </x:c>
      <x:c r="C5" t="s">
        <x:v>37</x:v>
      </x:c>
      <x:c r="E5" t="s">
        <x:v>38</x:v>
      </x:c>
      <x:c r="G5" t="s">
        <x:v>39</x:v>
      </x:c>
    </x:row>
    <x:row r="6" ht="15" customHeight="1">
      <x:c r="A6" t="s">
        <x:v>40</x:v>
      </x:c>
      <x:c r="C6" t="s">
        <x:v>41</x:v>
      </x:c>
      <x:c r="E6" t="s">
        <x:v>42</x:v>
      </x:c>
    </x:row>
    <x:row r="7" ht="15" customHeight="1">
      <x:c r="A7" t="s">
        <x:v>43</x:v>
      </x:c>
      <x:c r="C7" t="s">
        <x:v>44</x:v>
      </x:c>
      <x:c r="E7" t="s">
        <x:v>45</x:v>
      </x:c>
    </x:row>
    <x:row r="8" ht="15" customHeight="1">
      <x:c r="C8" t="s">
        <x:v>46</x:v>
      </x:c>
      <x:c r="E8" t="s">
        <x:v>47</x:v>
      </x:c>
    </x:row>
    <x:row r="9" ht="15" customHeight="1">
      <x:c r="C9" t="s">
        <x:v>48</x:v>
      </x:c>
    </x:row>
    <x:row r="10" ht="15" customHeight="1">
      <x:c r="C10" t="s">
        <x:v>49</x:v>
      </x:c>
    </x:row>
    <x:row r="11" ht="15" customHeight="1">
      <x:c r="C11" t="s">
        <x:v>50</x:v>
      </x:c>
    </x:row>
    <x:row r="12" ht="15" customHeight="1">
      <x:c r="C12" t="s">
        <x:v>51</x:v>
      </x:c>
    </x:row>
    <x:row r="13" ht="15" customHeight="1">
      <x:c r="C13" t="s">
        <x:v>52</x:v>
      </x:c>
    </x:row>
    <x:row r="14" ht="15" customHeight="1">
      <x:c r="C14" t="s">
        <x:v>53</x:v>
      </x:c>
    </x:row>
    <x:row r="15" ht="15" customHeight="1">
      <x:c r="C15" t="s">
        <x:v>54</x:v>
      </x:c>
    </x:row>
    <x:row r="16" ht="15" customHeight="1">
      <x:c r="C16" t="s">
        <x:v>55</x:v>
      </x:c>
    </x:row>
    <x:row r="17" ht="15" customHeight="1">
      <x:c r="C17" t="s">
        <x:v>56</x:v>
      </x:c>
    </x:row>
    <x:row r="18" ht="15" customHeight="1">
      <x:c r="C18" t="s">
        <x:v>57</x:v>
      </x:c>
    </x:row>
    <x:row r="19" ht="15" customHeight="1">
      <x:c r="C19" t="s">
        <x:v>58</x:v>
      </x:c>
    </x:row>
    <x:row r="20" ht="15" customHeight="1">
      <x:c r="C20" t="s">
        <x:v>59</x:v>
      </x:c>
    </x:row>
    <x:row r="21" ht="15" customHeight="1">
      <x:c r="C21" t="s">
        <x:v>60</x:v>
      </x:c>
    </x:row>
    <x:row r="22" ht="15" customHeight="1">
      <x:c r="C22" t="s">
        <x:v>61</x:v>
      </x:c>
    </x:row>
    <x:row r="23" ht="15" customHeight="1">
      <x:c r="C23" t="s">
        <x:v>62</x:v>
      </x:c>
    </x:row>
    <x:row r="24" ht="15" customHeight="1">
      <x:c r="C24" t="s">
        <x:v>63</x:v>
      </x:c>
    </x:row>
    <x:row r="25">
      <x:c r="C25" t="str">
        <x:v>94R - Benefits / Perquisites</x:v>
      </x:c>
    </x:row>
  </x:sheetData>
  <x:pageMargins left="0.7" right="0.7" top="0.75" bottom="0.75" header="0.3" footer="0.3"/>
</x:worksheet>
</file>