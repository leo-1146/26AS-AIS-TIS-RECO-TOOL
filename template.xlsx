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co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asters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_(* #,##0.00_);_(* \(#,##0.00\);_(* \-??_);_(@_)"/>
    <numFmt numFmtId="165" formatCode="_ * #,##0.00_ ;_ * \-#,##0.00_ ;_ * \-??_ ;_ @_ "/>
  </numFmts>
  <fonts count="11">
    <font>
      <name val="Calibri"/>
      <color theme="1"/>
      <sz val="11"/>
    </font>
    <font>
      <name val="Calibri"/>
      <b val="1"/>
      <color theme="3"/>
      <sz val="15"/>
    </font>
    <font>
      <name val="Calibri"/>
      <b val="1"/>
      <color rgb="FFFA7D00"/>
      <sz val="12"/>
    </font>
    <font>
      <name val="Calibri"/>
      <b val="1"/>
      <color theme="3"/>
      <sz val="11"/>
    </font>
    <font>
      <name val="Calibri"/>
      <color rgb="FF9C5700"/>
      <sz val="11"/>
    </font>
    <font>
      <name val="Calibri"/>
      <color rgb="FF9C0006"/>
      <sz val="11"/>
    </font>
    <font>
      <name val="Calibri"/>
      <color rgb="FF006100"/>
      <sz val="11"/>
    </font>
    <font>
      <name val="Calibri"/>
      <color rgb="FF0000FF"/>
      <sz val="11"/>
    </font>
    <font>
      <name val="Segoe UI"/>
      <color rgb="FF333333"/>
      <sz val="11"/>
    </font>
    <font>
      <name val="Calibri"/>
      <color rgb="FF333333"/>
      <sz val="11"/>
    </font>
    <font>
      <name val="Calibri"/>
      <b val="1"/>
      <color theme="1"/>
      <sz val="11"/>
    </font>
  </fonts>
  <fills count="10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8" tint="0.79989"/>
      </patternFill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theme="5" tint="0.59987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7" tint="0.39988"/>
      </patternFill>
    </fill>
  </fills>
  <borders count="18">
    <border/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ck">
        <color theme="4"/>
      </left>
      <top style="thick">
        <color theme="4"/>
      </top>
      <bottom style="thick">
        <color theme="4"/>
      </bottom>
    </border>
    <border>
      <top style="thick">
        <color theme="4"/>
      </top>
      <bottom style="thick">
        <color theme="4"/>
      </bottom>
    </border>
    <border>
      <right style="thick">
        <color theme="4"/>
      </right>
      <top style="thick">
        <color theme="4"/>
      </top>
      <bottom style="thick">
        <color theme="4"/>
      </bottom>
    </border>
    <border>
      <left style="medium">
        <color theme="4" tint="0.39988"/>
      </left>
      <top style="medium">
        <color theme="4" tint="0.39988"/>
      </top>
      <bottom style="medium">
        <color theme="4" tint="0.39988"/>
      </bottom>
    </border>
    <border>
      <left style="medium">
        <color theme="4" tint="0.39988"/>
      </left>
      <right style="medium">
        <color theme="4" tint="0.39988"/>
      </right>
      <top style="medium">
        <color theme="4" tint="0.39988"/>
      </top>
      <bottom style="medium">
        <color theme="4" tint="0.3998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medium">
        <color theme="4" tint="0.39988"/>
      </left>
      <right style="medium">
        <color theme="4" tint="0.39988"/>
      </right>
      <top style="medium">
        <color theme="4" tint="0.39988"/>
      </top>
    </border>
    <border>
      <left style="medium">
        <color theme="4" tint="0.39988"/>
      </left>
      <top style="medium">
        <color theme="4" tint="0.39988"/>
      </top>
    </border>
    <border>
      <left style="medium">
        <color theme="4" tint="0.39988"/>
      </left>
      <right style="medium">
        <color theme="4" tint="0.39988"/>
      </right>
      <bottom style="medium">
        <color theme="4" tint="0.39988"/>
      </bottom>
    </border>
    <border>
      <left style="medium">
        <color theme="4" tint="0.39988"/>
      </left>
      <right style="medium">
        <color theme="4" tint="0.39988"/>
      </right>
    </border>
    <border>
      <left style="thick">
        <color theme="8" tint="0.39988"/>
      </left>
      <right style="thick">
        <color theme="8" tint="0.39988"/>
      </right>
      <top style="thick">
        <color theme="8" tint="0.39988"/>
      </top>
      <bottom style="thick">
        <color theme="8" tint="0.39988"/>
      </bottom>
    </border>
    <border>
      <top style="medium">
        <color theme="4" tint="0.39988"/>
      </top>
    </border>
    <border>
      <right style="medium">
        <color theme="4" tint="0.39988"/>
      </right>
      <top style="medium">
        <color theme="4" tint="0.39988"/>
      </top>
    </border>
    <border>
      <top style="medium">
        <color theme="4" tint="0.39988"/>
      </top>
      <bottom style="medium">
        <color theme="4" tint="0.39988"/>
      </bottom>
    </border>
    <border>
      <right style="medium">
        <color theme="4" tint="0.39988"/>
      </right>
      <top style="medium">
        <color theme="4" tint="0.39988"/>
      </top>
      <bottom style="medium">
        <color theme="4" tint="0.39988"/>
      </bottom>
    </border>
    <border>
      <left style="medium">
        <color theme="4" tint="0.39988"/>
      </left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6" fillId="8" borderId="8" applyAlignment="1" pivotButton="0" quotePrefix="0" xfId="0">
      <alignment horizontal="center"/>
    </xf>
    <xf numFmtId="0" fontId="6" fillId="8" borderId="6" applyAlignment="1" pivotButton="0" quotePrefix="0" xfId="0">
      <alignment horizontal="center"/>
    </xf>
    <xf numFmtId="0" fontId="0" fillId="0" borderId="0" pivotButton="0" quotePrefix="0" xfId="0"/>
    <xf numFmtId="0" fontId="1" fillId="2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0" fillId="3" borderId="5" pivotButton="0" quotePrefix="0" xfId="0"/>
    <xf numFmtId="0" fontId="0" fillId="3" borderId="6" pivotButton="0" quotePrefix="0" xfId="0"/>
    <xf numFmtId="164" fontId="2" fillId="4" borderId="7" pivotButton="0" quotePrefix="0" xfId="0"/>
    <xf numFmtId="0" fontId="6" fillId="8" borderId="9" applyAlignment="1" pivotButton="0" quotePrefix="0" xfId="0">
      <alignment horizontal="center"/>
    </xf>
    <xf numFmtId="0" fontId="6" fillId="8" borderId="5" applyAlignment="1" pivotButton="0" quotePrefix="0" xfId="0">
      <alignment horizontal="center"/>
    </xf>
    <xf numFmtId="0" fontId="0" fillId="0" borderId="6" pivotButton="0" quotePrefix="0" xfId="0"/>
    <xf numFmtId="49" fontId="0" fillId="0" borderId="6" applyAlignment="1" pivotButton="0" quotePrefix="0" xfId="0">
      <alignment horizontal="left" wrapText="1"/>
    </xf>
    <xf numFmtId="164" fontId="7" fillId="0" borderId="6" pivotButton="0" quotePrefix="0" xfId="0"/>
    <xf numFmtId="164" fontId="0" fillId="0" borderId="6" pivotButton="0" quotePrefix="0" xfId="0"/>
    <xf numFmtId="164" fontId="0" fillId="0" borderId="10" pivotButton="0" quotePrefix="0" xfId="0"/>
    <xf numFmtId="164" fontId="0" fillId="0" borderId="10" pivotButton="0" quotePrefix="0" xfId="0"/>
    <xf numFmtId="49" fontId="0" fillId="0" borderId="10" applyAlignment="1" pivotButton="0" quotePrefix="0" xfId="0">
      <alignment horizontal="justify" wrapText="1"/>
    </xf>
    <xf numFmtId="49" fontId="8" fillId="0" borderId="6" applyAlignment="1" pivotButton="0" quotePrefix="0" xfId="0">
      <alignment horizontal="left" wrapText="1"/>
    </xf>
    <xf numFmtId="164" fontId="0" fillId="9" borderId="6" pivotButton="0" quotePrefix="0" xfId="0"/>
    <xf numFmtId="164" fontId="0" fillId="9" borderId="10" pivotButton="0" quotePrefix="0" xfId="0"/>
    <xf numFmtId="49" fontId="0" fillId="0" borderId="6" applyAlignment="1" pivotButton="0" quotePrefix="0" xfId="0">
      <alignment horizontal="justify" wrapText="1"/>
    </xf>
    <xf numFmtId="0" fontId="0" fillId="0" borderId="8" pivotButton="0" quotePrefix="0" xfId="0"/>
    <xf numFmtId="49" fontId="8" fillId="0" borderId="8" applyAlignment="1" pivotButton="0" quotePrefix="0" xfId="0">
      <alignment horizontal="left" wrapText="1"/>
    </xf>
    <xf numFmtId="164" fontId="0" fillId="9" borderId="8" pivotButton="0" quotePrefix="0" xfId="0"/>
    <xf numFmtId="164" fontId="0" fillId="0" borderId="11" pivotButton="0" quotePrefix="0" xfId="0"/>
    <xf numFmtId="164" fontId="0" fillId="0" borderId="11" pivotButton="0" quotePrefix="0" xfId="0"/>
    <xf numFmtId="49" fontId="0" fillId="0" borderId="8" applyAlignment="1" pivotButton="0" quotePrefix="0" xfId="0">
      <alignment horizontal="justify" wrapText="1"/>
    </xf>
    <xf numFmtId="0" fontId="0" fillId="0" borderId="12" pivotButton="0" quotePrefix="0" xfId="0"/>
    <xf numFmtId="49" fontId="8" fillId="0" borderId="12" applyAlignment="1" pivotButton="0" quotePrefix="0" xfId="0">
      <alignment horizontal="left" wrapText="1"/>
    </xf>
    <xf numFmtId="164" fontId="0" fillId="9" borderId="12" pivotButton="0" quotePrefix="0" xfId="0"/>
    <xf numFmtId="164" fontId="0" fillId="0" borderId="12" pivotButton="0" quotePrefix="0" xfId="0"/>
    <xf numFmtId="164" fontId="0" fillId="0" borderId="12" pivotButton="0" quotePrefix="0" xfId="0"/>
    <xf numFmtId="49" fontId="0" fillId="0" borderId="12" applyAlignment="1" pivotButton="0" quotePrefix="0" xfId="0">
      <alignment horizontal="justify" wrapText="1"/>
    </xf>
    <xf numFmtId="0" fontId="9" fillId="0" borderId="12" pivotButton="0" quotePrefix="0" xfId="0"/>
    <xf numFmtId="49" fontId="0" fillId="0" borderId="12" applyAlignment="1" pivotButton="0" quotePrefix="0" xfId="0">
      <alignment horizontal="left" wrapText="1"/>
    </xf>
    <xf numFmtId="0" fontId="0" fillId="0" borderId="6" pivotButton="0" quotePrefix="0" xfId="0"/>
    <xf numFmtId="164" fontId="0" fillId="0" borderId="6" pivotButton="0" quotePrefix="0" xfId="0"/>
    <xf numFmtId="164" fontId="0" fillId="0" borderId="5" pivotButton="0" quotePrefix="0" xfId="0"/>
    <xf numFmtId="0" fontId="10" fillId="0" borderId="6" pivotButton="0" quotePrefix="0" xfId="0"/>
    <xf numFmtId="164" fontId="10" fillId="0" borderId="6" pivotButton="0" quotePrefix="0" xfId="0"/>
    <xf numFmtId="164" fontId="10" fillId="0" borderId="5" pivotButton="0" quotePrefix="0" xfId="0"/>
    <xf numFmtId="165" fontId="0" fillId="0" borderId="0" pivotButton="0" quotePrefix="0" xfId="0"/>
    <xf numFmtId="0" fontId="5" fillId="7" borderId="6" applyAlignment="1" pivotButton="0" quotePrefix="0" xfId="0">
      <alignment horizontal="center" wrapText="1"/>
    </xf>
    <xf numFmtId="0" fontId="5" fillId="7" borderId="6" applyAlignment="1" pivotButton="0" quotePrefix="0" xfId="0">
      <alignment horizontal="center"/>
    </xf>
    <xf numFmtId="0" fontId="6" fillId="8" borderId="6" applyAlignment="1" pivotButton="0" quotePrefix="0" xfId="0">
      <alignment horizontal="center"/>
    </xf>
    <xf numFmtId="0" fontId="4" fillId="5" borderId="6" applyAlignment="1" pivotButton="0" quotePrefix="0" xfId="0">
      <alignment horizontal="center"/>
    </xf>
    <xf numFmtId="0" fontId="4" fillId="5" borderId="8" applyAlignment="1" pivotButton="0" quotePrefix="0" xfId="0">
      <alignment horizontal="center"/>
    </xf>
    <xf numFmtId="0" fontId="4" fillId="6" borderId="6" applyAlignment="1" pivotButton="0" quotePrefix="0" xfId="0">
      <alignment horizontal="center"/>
    </xf>
    <xf numFmtId="0" fontId="0" fillId="3" borderId="6" applyAlignment="1" pivotButton="0" quotePrefix="0" xfId="0">
      <alignment horizontal="left"/>
    </xf>
    <xf numFmtId="0" fontId="3" fillId="3" borderId="8" applyAlignment="1" pivotButton="0" quotePrefix="0" xfId="0">
      <alignment horizontal="center"/>
    </xf>
    <xf numFmtId="0" fontId="6" fillId="8" borderId="8" applyAlignment="1" pivotButton="0" quotePrefix="0" xfId="0">
      <alignment horizontal="center"/>
    </xf>
    <xf numFmtId="0" fontId="0" fillId="3" borderId="6" applyAlignment="1" pivotButton="0" quotePrefix="0" xfId="0">
      <alignment horizontal="left"/>
    </xf>
    <xf numFmtId="0" fontId="3" fillId="3" borderId="6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10" pivotButton="0" quotePrefix="0" xfId="0"/>
  </cellXfs>
  <cellStyles count="1">
    <cellStyle name="Normal" xfId="0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2B2B2"/>
      <rgbColor rgb="FF7F7F7F"/>
      <rgbColor rgb="FF8FAADC"/>
      <rgbColor rgb="FF993366"/>
      <rgbColor rgb="FFFFFFCC"/>
      <rgbColor rgb="FFDEEBF7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DC3E6"/>
      <rgbColor rgb="FFFF99CC"/>
      <rgbColor rgb="FFCC99FF"/>
      <rgbColor rgb="FFF8CBAD"/>
      <rgbColor rgb="FF4472C4"/>
      <rgbColor rgb="FF33CCCC"/>
      <rgbColor rgb="FF99CC00"/>
      <rgbColor rgb="FFFFD966"/>
      <rgbColor rgb="FFFF9900"/>
      <rgbColor rgb="FFFA7D00"/>
      <rgbColor rgb="FF44546A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1"/>
  <sheetViews>
    <sheetView workbookViewId="0">
      <selection activeCell="A1" sqref="A1"/>
    </sheetView>
  </sheetViews>
  <sheetFormatPr baseColWidth="8" defaultColWidth="8.88671875" defaultRowHeight="14.39999961853027"/>
  <cols>
    <col width="27.5546875" customWidth="1" style="3" min="1" max="1"/>
    <col width="69.6640625" customWidth="1" style="3" min="2" max="2"/>
    <col width="22.6640625" customWidth="1" style="3" min="3" max="18"/>
    <col width="31.6640625" customWidth="1" style="3" min="19" max="19"/>
    <col width="13.5546875" customWidth="1" style="3" min="20" max="20"/>
    <col width="33.5546875" customWidth="1" style="3" min="21" max="21"/>
    <col hidden="1" width="2" customWidth="1" style="3" min="22" max="16384"/>
  </cols>
  <sheetData>
    <row r="1" ht="19.5" customHeight="1" s="3">
      <c r="A1" s="4" t="inlineStr">
        <is>
          <t>PAVAN JAIN S AND CO |CHARTERED ACCOUNTANTS</t>
        </is>
      </c>
      <c r="B1" s="4" t="n"/>
      <c r="C1" s="4" t="n"/>
      <c r="D1" s="4" t="n"/>
    </row>
    <row r="2" ht="15.75" customHeight="1" s="3"/>
    <row r="3" ht="21" customHeight="1" s="3">
      <c r="A3" s="5" t="inlineStr">
        <is>
          <t>AIS/TIS/26AS/BOOKS COMPARATIVE TOOL</t>
        </is>
      </c>
      <c r="B3" s="6" t="n"/>
      <c r="C3" s="7" t="n"/>
    </row>
    <row r="4" ht="16.5" customHeight="1" s="3"/>
    <row r="5" ht="15.75" customHeight="1" s="3">
      <c r="A5" s="8" t="inlineStr">
        <is>
          <t>NAME OF THE CLIENT</t>
        </is>
      </c>
      <c r="B5" s="54" t="n"/>
      <c r="C5" s="56" t="n"/>
      <c r="D5" s="57" t="n"/>
    </row>
    <row r="6" ht="15.75" customHeight="1" s="3">
      <c r="A6" s="9" t="inlineStr">
        <is>
          <t>ASSESSMENT YEAR</t>
        </is>
      </c>
      <c r="B6" s="54" t="n"/>
      <c r="C6" s="56" t="n"/>
      <c r="D6" s="57" t="n"/>
    </row>
    <row r="7" ht="15.75" customHeight="1" s="3">
      <c r="A7" s="9" t="inlineStr">
        <is>
          <t>FINANCIAL YEAR</t>
        </is>
      </c>
      <c r="B7" s="54" t="n"/>
      <c r="C7" s="56" t="n"/>
      <c r="D7" s="57" t="n"/>
    </row>
    <row r="8" ht="15.75" customHeight="1" s="3">
      <c r="A8" s="9" t="inlineStr">
        <is>
          <t>PREPARED BY</t>
        </is>
      </c>
      <c r="B8" s="54" t="n"/>
      <c r="C8" s="56" t="n"/>
      <c r="D8" s="57" t="n"/>
    </row>
    <row r="9" ht="16.5" customHeight="1" s="3">
      <c r="C9" s="10">
        <f>SUBTOTAL(9,C12:C161)</f>
        <v/>
      </c>
      <c r="D9" s="10">
        <f>SUBTOTAL(9,D12:D161)</f>
        <v/>
      </c>
      <c r="E9" s="10">
        <f>SUBTOTAL(9,E12:E161)</f>
        <v/>
      </c>
      <c r="F9" s="10">
        <f>SUBTOTAL(9,F12:F161)</f>
        <v/>
      </c>
      <c r="G9" s="10">
        <f>SUBTOTAL(9,G12:G161)</f>
        <v/>
      </c>
      <c r="H9" s="10">
        <f>SUBTOTAL(9,H12:H161)</f>
        <v/>
      </c>
      <c r="I9" s="10">
        <f>SUBTOTAL(9,I12:I161)</f>
        <v/>
      </c>
      <c r="J9" s="10">
        <f>SUBTOTAL(9,J12:J161)</f>
        <v/>
      </c>
      <c r="K9" s="10">
        <f>SUBTOTAL(9,K12:K161)</f>
        <v/>
      </c>
      <c r="L9" s="10">
        <f>SUBTOTAL(9,L12:L161)</f>
        <v/>
      </c>
      <c r="M9" s="10">
        <f>SUBTOTAL(9,M12:M161)</f>
        <v/>
      </c>
      <c r="N9" s="10">
        <f>SUBTOTAL(9,N12:N161)</f>
        <v/>
      </c>
      <c r="O9" s="10">
        <f>SUBTOTAL(9,O12:O161)</f>
        <v/>
      </c>
      <c r="P9" s="10">
        <f>SUBTOTAL(9,P12:P161)</f>
        <v/>
      </c>
      <c r="Q9" s="10">
        <f>SUBTOTAL(9,Q12:Q65)</f>
        <v/>
      </c>
      <c r="R9" s="10">
        <f>SUBTOTAL(9,R12:R65)</f>
        <v/>
      </c>
    </row>
    <row r="10" ht="15.75" customHeight="1" s="3">
      <c r="A10" s="52" t="inlineStr">
        <is>
          <t>Nature of Transactions</t>
        </is>
      </c>
      <c r="B10" s="52" t="inlineStr">
        <is>
          <t>Name of Party</t>
        </is>
      </c>
      <c r="C10" s="48" t="inlineStr">
        <is>
          <t>26AS</t>
        </is>
      </c>
      <c r="D10" s="57" t="n"/>
      <c r="E10" s="48" t="inlineStr">
        <is>
          <t>AIS</t>
        </is>
      </c>
      <c r="F10" s="57" t="n"/>
      <c r="G10" s="48" t="inlineStr">
        <is>
          <t>TIS</t>
        </is>
      </c>
      <c r="H10" s="57" t="n"/>
      <c r="I10" s="49" t="inlineStr">
        <is>
          <t>Books</t>
        </is>
      </c>
      <c r="J10" s="58" t="n"/>
      <c r="K10" s="50" t="inlineStr">
        <is>
          <t>Difference</t>
        </is>
      </c>
      <c r="L10" s="56" t="n"/>
      <c r="M10" s="56" t="n"/>
      <c r="N10" s="56" t="n"/>
      <c r="O10" s="56" t="n"/>
      <c r="P10" s="56" t="n"/>
      <c r="Q10" s="56" t="n"/>
      <c r="R10" s="57" t="n"/>
      <c r="S10" s="45" t="inlineStr">
        <is>
          <t>Does the difference tantamounts to short declaration in Books?</t>
        </is>
      </c>
      <c r="T10" s="45" t="inlineStr">
        <is>
          <t>Action</t>
        </is>
      </c>
      <c r="U10" s="46" t="inlineStr">
        <is>
          <t>Remarks</t>
        </is>
      </c>
      <c r="V10" s="46" t="inlineStr">
        <is>
          <t>Summary Include</t>
        </is>
      </c>
    </row>
    <row r="11" ht="15" customHeight="1" s="3">
      <c r="A11" s="59" t="n"/>
      <c r="B11" s="59" t="n"/>
      <c r="C11" s="53" t="inlineStr">
        <is>
          <t>Gross Value</t>
        </is>
      </c>
      <c r="D11" s="53" t="inlineStr">
        <is>
          <t>TDS/TCS</t>
        </is>
      </c>
      <c r="E11" s="53" t="inlineStr">
        <is>
          <t>Gross Value</t>
        </is>
      </c>
      <c r="F11" s="53" t="inlineStr">
        <is>
          <t>TDS/TCS</t>
        </is>
      </c>
      <c r="G11" s="53" t="inlineStr">
        <is>
          <t>Gross Value</t>
        </is>
      </c>
      <c r="H11" s="11" t="inlineStr">
        <is>
          <t>TDS/TCS</t>
        </is>
      </c>
      <c r="I11" s="47" t="inlineStr">
        <is>
          <t>Gross Value</t>
        </is>
      </c>
      <c r="J11" s="12" t="inlineStr">
        <is>
          <t>TDS/TCS</t>
        </is>
      </c>
      <c r="K11" s="47" t="inlineStr">
        <is>
          <t>26AS/AIS</t>
        </is>
      </c>
      <c r="L11" s="57" t="n"/>
      <c r="M11" s="47" t="inlineStr">
        <is>
          <t>26AS/TIS</t>
        </is>
      </c>
      <c r="N11" s="57" t="n"/>
      <c r="O11" s="47" t="inlineStr">
        <is>
          <t>AIS/TIS</t>
        </is>
      </c>
      <c r="P11" s="57" t="n"/>
      <c r="Q11" s="47" t="inlineStr">
        <is>
          <t>Books/AIS</t>
        </is>
      </c>
      <c r="R11" s="57" t="n"/>
      <c r="S11" s="60" t="n"/>
      <c r="T11" s="60" t="n"/>
      <c r="U11" s="60" t="n"/>
      <c r="V11" s="60" t="n"/>
    </row>
    <row r="12" ht="15.75" customHeight="1" s="3">
      <c r="A12" s="38" t="n"/>
      <c r="B12" s="14" t="n"/>
      <c r="C12" s="15" t="n"/>
      <c r="D12" s="15" t="n"/>
      <c r="E12" s="15" t="n"/>
      <c r="F12" s="15" t="n"/>
      <c r="G12" s="15" t="n"/>
      <c r="H12" s="39" t="n"/>
      <c r="I12" s="18" t="n"/>
      <c r="J12" s="18" t="n"/>
      <c r="K12" s="18">
        <f>IF(OR(C12="",E12="",C12="NA",E12="NA"),"",ROUND(C12-E12,-1))</f>
        <v/>
      </c>
      <c r="L12" s="18">
        <f>IF(OR(D12="",F12="",D12="NA",F12="NA"),"",ROUND(D12-F12,-1))</f>
        <v/>
      </c>
      <c r="M12" s="18">
        <f>IF(OR(C12="",G12="",C12="NA",G12="NA"),"",ROUND(C12-G12,-1))</f>
        <v/>
      </c>
      <c r="N12" s="18">
        <f>IF(OR(D12="",H12="",D12="NA",H12="NA"),"",ROUND(D12-H12,-1))</f>
        <v/>
      </c>
      <c r="O12" s="18">
        <f>IF(OR(E12="",G12="",E12="NA",G12="NA"),"",ROUND(E12-G12,-1))</f>
        <v/>
      </c>
      <c r="P12" s="18">
        <f>IF(OR(F12="",H12="",F12="NA",H12="NA"),"",ROUND(F12-H12,-1))</f>
        <v/>
      </c>
      <c r="Q12" s="18">
        <f>IF(OR(E12="",I12="",E12="NA",I12="NA"),"",ROUND(IF(E12&gt;I12,E12-I12,0),-1))</f>
        <v/>
      </c>
      <c r="R12" s="18">
        <f>IF(OR(F12="",J12="",F12="NA",J12="NA"),"",ROUND(IF(F12&gt;J12,F12-J12,0),-1))</f>
        <v/>
      </c>
      <c r="S12" s="18" t="n"/>
      <c r="T12" s="18">
        <f>IF(S12="Yes","Report","No Action")</f>
        <v/>
      </c>
      <c r="U12" s="19" t="n"/>
      <c r="V12" s="19" t="inlineStr">
        <is>
          <t>Y</t>
        </is>
      </c>
    </row>
    <row r="13" ht="15.75" customHeight="1" s="3">
      <c r="A13" s="38" t="n"/>
      <c r="B13" s="14" t="n"/>
      <c r="C13" s="15" t="n"/>
      <c r="D13" s="15" t="n"/>
      <c r="E13" s="15" t="n"/>
      <c r="F13" s="39" t="n"/>
      <c r="G13" s="39" t="n"/>
      <c r="H13" s="39" t="n"/>
      <c r="I13" s="18" t="n"/>
      <c r="J13" s="18" t="n"/>
      <c r="K13" s="18">
        <f>IF(OR(C13="",E13="",C13="NA",E13="NA"),"",ROUND(C13-E13,-1))</f>
        <v/>
      </c>
      <c r="L13" s="18">
        <f>IF(OR(D13="",F13="",D13="NA",F13="NA"),"",ROUND(D13-F13,-1))</f>
        <v/>
      </c>
      <c r="M13" s="18">
        <f>IF(OR(C13="",G13="",C13="NA",G13="NA"),"",ROUND(C13-G13,-1))</f>
        <v/>
      </c>
      <c r="N13" s="18">
        <f>IF(OR(D13="",H13="",D13="NA",H13="NA"),"",ROUND(D13-H13,-1))</f>
        <v/>
      </c>
      <c r="O13" s="18">
        <f>IF(OR(E13="",G13="",E13="NA",G13="NA"),"",ROUND(E13-G13,-1))</f>
        <v/>
      </c>
      <c r="P13" s="18">
        <f>IF(OR(F13="",H13="",F13="NA",H13="NA"),"",ROUND(F13-H13,-1))</f>
        <v/>
      </c>
      <c r="Q13" s="18">
        <f>IF(OR(E13="",I13="",E13="NA",I13="NA"),"",ROUND(IF(E13&gt;I13,E13-I13,0),-1))</f>
        <v/>
      </c>
      <c r="R13" s="18">
        <f>IF(OR(F13="",J13="",F13="NA",J13="NA"),"",ROUND(IF(F13&gt;J13,F13-J13,0),-1))</f>
        <v/>
      </c>
      <c r="S13" s="18" t="n"/>
      <c r="T13" s="18">
        <f>IF(S13="Yes","Report","No Action")</f>
        <v/>
      </c>
      <c r="U13" s="19" t="n"/>
      <c r="V13" s="19" t="inlineStr">
        <is>
          <t>Y</t>
        </is>
      </c>
    </row>
    <row r="14" ht="15.75" customHeight="1" s="3">
      <c r="A14" s="38" t="n"/>
      <c r="B14" s="14" t="n"/>
      <c r="C14" s="15" t="n"/>
      <c r="D14" s="15" t="n"/>
      <c r="E14" s="15" t="n"/>
      <c r="F14" s="39" t="n"/>
      <c r="G14" s="39" t="n"/>
      <c r="H14" s="39" t="n"/>
      <c r="I14" s="18" t="n"/>
      <c r="J14" s="18" t="n"/>
      <c r="K14" s="18">
        <f>IF(OR(C14="",E14="",C14="NA",E14="NA"),"",ROUND(C14-E14,-1))</f>
        <v/>
      </c>
      <c r="L14" s="18">
        <f>IF(OR(D14="",F14="",D14="NA",F14="NA"),"",ROUND(D14-F14,-1))</f>
        <v/>
      </c>
      <c r="M14" s="18">
        <f>IF(OR(C14="",G14="",C14="NA",G14="NA"),"",ROUND(C14-G14,-1))</f>
        <v/>
      </c>
      <c r="N14" s="18">
        <f>IF(OR(D14="",H14="",D14="NA",H14="NA"),"",ROUND(D14-H14,-1))</f>
        <v/>
      </c>
      <c r="O14" s="18">
        <f>IF(OR(E14="",G14="",E14="NA",G14="NA"),"",ROUND(E14-G14,-1))</f>
        <v/>
      </c>
      <c r="P14" s="18">
        <f>IF(OR(F14="",H14="",F14="NA",H14="NA"),"",ROUND(F14-H14,-1))</f>
        <v/>
      </c>
      <c r="Q14" s="18">
        <f>IF(OR(E14="",I14="",E14="NA",I14="NA"),"",ROUND(IF(E14&gt;I14,E14-I14,0),-1))</f>
        <v/>
      </c>
      <c r="R14" s="18">
        <f>IF(OR(F14="",J14="",F14="NA",J14="NA"),"",ROUND(IF(F14&gt;J14,F14-J14,0),-1))</f>
        <v/>
      </c>
      <c r="S14" s="18" t="n"/>
      <c r="T14" s="18">
        <f>IF(S14="Yes","Report","No Action")</f>
        <v/>
      </c>
      <c r="U14" s="19" t="n"/>
      <c r="V14" s="19" t="inlineStr">
        <is>
          <t>Y</t>
        </is>
      </c>
    </row>
    <row r="15" ht="15.75" customHeight="1" s="3">
      <c r="A15" s="38" t="n"/>
      <c r="B15" s="14" t="n"/>
      <c r="C15" s="15" t="n"/>
      <c r="D15" s="15" t="n"/>
      <c r="E15" s="15" t="n"/>
      <c r="F15" s="39" t="n"/>
      <c r="G15" s="39" t="n"/>
      <c r="H15" s="39" t="n"/>
      <c r="I15" s="18" t="n"/>
      <c r="J15" s="18" t="n"/>
      <c r="K15" s="18">
        <f>IF(OR(C15="",E15="",C15="NA",E15="NA"),"",ROUND(C15-E15,-1))</f>
        <v/>
      </c>
      <c r="L15" s="18">
        <f>IF(OR(D15="",F15="",D15="NA",F15="NA"),"",ROUND(D15-F15,-1))</f>
        <v/>
      </c>
      <c r="M15" s="18">
        <f>IF(OR(C15="",G15="",C15="NA",G15="NA"),"",ROUND(C15-G15,-1))</f>
        <v/>
      </c>
      <c r="N15" s="18">
        <f>IF(OR(D15="",H15="",D15="NA",H15="NA"),"",ROUND(D15-H15,-1))</f>
        <v/>
      </c>
      <c r="O15" s="18">
        <f>IF(OR(E15="",G15="",E15="NA",G15="NA"),"",ROUND(E15-G15,-1))</f>
        <v/>
      </c>
      <c r="P15" s="18">
        <f>IF(OR(F15="",H15="",F15="NA",H15="NA"),"",ROUND(F15-H15,-1))</f>
        <v/>
      </c>
      <c r="Q15" s="18">
        <f>IF(OR(E15="",I15="",E15="NA",I15="NA"),"",ROUND(IF(E15&gt;I15,E15-I15,0),-1))</f>
        <v/>
      </c>
      <c r="R15" s="18">
        <f>IF(OR(F15="",J15="",F15="NA",J15="NA"),"",ROUND(IF(F15&gt;J15,F15-J15,0),-1))</f>
        <v/>
      </c>
      <c r="S15" s="18" t="n"/>
      <c r="T15" s="18">
        <f>IF(S15="Yes","Report","No Action")</f>
        <v/>
      </c>
      <c r="U15" s="19" t="n"/>
      <c r="V15" s="19" t="inlineStr">
        <is>
          <t>Y</t>
        </is>
      </c>
    </row>
    <row r="16" ht="15.75" customHeight="1" s="3">
      <c r="A16" s="38" t="n"/>
      <c r="B16" s="14" t="n"/>
      <c r="C16" s="15" t="n"/>
      <c r="D16" s="15" t="n"/>
      <c r="E16" s="15" t="n"/>
      <c r="F16" s="39" t="n"/>
      <c r="G16" s="39" t="n"/>
      <c r="H16" s="39" t="n"/>
      <c r="I16" s="18" t="n"/>
      <c r="J16" s="18" t="n"/>
      <c r="K16" s="18">
        <f>IF(OR(C16="",E16="",C16="NA",E16="NA"),"",ROUND(C16-E16,-1))</f>
        <v/>
      </c>
      <c r="L16" s="18">
        <f>IF(OR(D16="",F16="",D16="NA",F16="NA"),"",ROUND(D16-F16,-1))</f>
        <v/>
      </c>
      <c r="M16" s="18">
        <f>IF(OR(C16="",G16="",C16="NA",G16="NA"),"",ROUND(C16-G16,-1))</f>
        <v/>
      </c>
      <c r="N16" s="18">
        <f>IF(OR(D16="",H16="",D16="NA",H16="NA"),"",ROUND(D16-H16,-1))</f>
        <v/>
      </c>
      <c r="O16" s="18">
        <f>IF(OR(E16="",G16="",E16="NA",G16="NA"),"",ROUND(E16-G16,-1))</f>
        <v/>
      </c>
      <c r="P16" s="18">
        <f>IF(OR(F16="",H16="",F16="NA",H16="NA"),"",ROUND(F16-H16,-1))</f>
        <v/>
      </c>
      <c r="Q16" s="18">
        <f>IF(OR(E16="",I16="",E16="NA",I16="NA"),"",ROUND(IF(E16&gt;I16,E16-I16,0),-1))</f>
        <v/>
      </c>
      <c r="R16" s="18">
        <f>IF(OR(F16="",J16="",F16="NA",J16="NA"),"",ROUND(IF(F16&gt;J16,F16-J16,0),-1))</f>
        <v/>
      </c>
      <c r="S16" s="18" t="n"/>
      <c r="T16" s="18">
        <f>IF(S16="Yes","Report","No Action")</f>
        <v/>
      </c>
      <c r="U16" s="19" t="n"/>
      <c r="V16" s="19" t="inlineStr">
        <is>
          <t>Y</t>
        </is>
      </c>
    </row>
    <row r="17" ht="15.75" customHeight="1" s="3">
      <c r="A17" s="38" t="n"/>
      <c r="B17" s="14" t="n"/>
      <c r="C17" s="15" t="n"/>
      <c r="D17" s="15" t="n"/>
      <c r="E17" s="15" t="n"/>
      <c r="F17" s="39" t="n"/>
      <c r="G17" s="39" t="n"/>
      <c r="H17" s="39" t="n"/>
      <c r="I17" s="18" t="n"/>
      <c r="J17" s="18" t="n"/>
      <c r="K17" s="18">
        <f>IF(OR(C17="",E17="",C17="NA",E17="NA"),"",ROUND(C17-E17,-1))</f>
        <v/>
      </c>
      <c r="L17" s="18">
        <f>IF(OR(D17="",F17="",D17="NA",F17="NA"),"",ROUND(D17-F17,-1))</f>
        <v/>
      </c>
      <c r="M17" s="18">
        <f>IF(OR(C17="",G17="",C17="NA",G17="NA"),"",ROUND(C17-G17,-1))</f>
        <v/>
      </c>
      <c r="N17" s="18">
        <f>IF(OR(D17="",H17="",D17="NA",H17="NA"),"",ROUND(D17-H17,-1))</f>
        <v/>
      </c>
      <c r="O17" s="18">
        <f>IF(OR(E17="",G17="",E17="NA",G17="NA"),"",ROUND(E17-G17,-1))</f>
        <v/>
      </c>
      <c r="P17" s="18">
        <f>IF(OR(F17="",H17="",F17="NA",H17="NA"),"",ROUND(F17-H17,-1))</f>
        <v/>
      </c>
      <c r="Q17" s="18">
        <f>IF(OR(E17="",I17="",E17="NA",I17="NA"),"",ROUND(IF(E17&gt;I17,E17-I17,0),-1))</f>
        <v/>
      </c>
      <c r="R17" s="18">
        <f>IF(OR(F17="",J17="",F17="NA",J17="NA"),"",ROUND(IF(F17&gt;J17,F17-J17,0),-1))</f>
        <v/>
      </c>
      <c r="S17" s="18" t="n"/>
      <c r="T17" s="18">
        <f>IF(S17="Yes","Report","No Action")</f>
        <v/>
      </c>
      <c r="U17" s="19" t="n"/>
      <c r="V17" s="19" t="inlineStr">
        <is>
          <t>Y</t>
        </is>
      </c>
    </row>
    <row r="18" ht="15.75" customHeight="1" s="3">
      <c r="A18" s="38" t="n"/>
      <c r="B18" s="14" t="n"/>
      <c r="C18" s="15" t="n"/>
      <c r="D18" s="15" t="n"/>
      <c r="E18" s="15" t="n"/>
      <c r="F18" s="39" t="n"/>
      <c r="G18" s="39" t="n"/>
      <c r="H18" s="39" t="n"/>
      <c r="I18" s="18" t="n"/>
      <c r="J18" s="18" t="n"/>
      <c r="K18" s="18">
        <f>IF(OR(C18="",E18="",C18="NA",E18="NA"),"",ROUND(C18-E18,-1))</f>
        <v/>
      </c>
      <c r="L18" s="18">
        <f>IF(OR(D18="",F18="",D18="NA",F18="NA"),"",ROUND(D18-F18,-1))</f>
        <v/>
      </c>
      <c r="M18" s="18">
        <f>IF(OR(C18="",G18="",C18="NA",G18="NA"),"",ROUND(C18-G18,-1))</f>
        <v/>
      </c>
      <c r="N18" s="18">
        <f>IF(OR(D18="",H18="",D18="NA",H18="NA"),"",ROUND(D18-H18,-1))</f>
        <v/>
      </c>
      <c r="O18" s="18">
        <f>IF(OR(E18="",G18="",E18="NA",G18="NA"),"",ROUND(E18-G18,-1))</f>
        <v/>
      </c>
      <c r="P18" s="18">
        <f>IF(OR(F18="",H18="",F18="NA",H18="NA"),"",ROUND(F18-H18,-1))</f>
        <v/>
      </c>
      <c r="Q18" s="18">
        <f>IF(OR(E18="",I18="",E18="NA",I18="NA"),"",ROUND(IF(E18&gt;I18,E18-I18,0),-1))</f>
        <v/>
      </c>
      <c r="R18" s="18">
        <f>IF(OR(F18="",J18="",F18="NA",J18="NA"),"",ROUND(IF(F18&gt;J18,F18-J18,0),-1))</f>
        <v/>
      </c>
      <c r="S18" s="18" t="n"/>
      <c r="T18" s="18">
        <f>IF(S18="Yes","Report","No Action")</f>
        <v/>
      </c>
      <c r="U18" s="19" t="n"/>
      <c r="V18" s="19" t="inlineStr">
        <is>
          <t>Y</t>
        </is>
      </c>
    </row>
    <row r="19" ht="15.75" customHeight="1" s="3">
      <c r="A19" s="38" t="n"/>
      <c r="B19" s="14" t="n"/>
      <c r="C19" s="15" t="n"/>
      <c r="D19" s="15" t="n"/>
      <c r="E19" s="15" t="n"/>
      <c r="F19" s="39" t="n"/>
      <c r="G19" s="39" t="n"/>
      <c r="H19" s="39" t="n"/>
      <c r="I19" s="18" t="n"/>
      <c r="J19" s="18" t="n"/>
      <c r="K19" s="18">
        <f>IF(OR(C19="",E19="",C19="NA",E19="NA"),"",ROUND(C19-E19,-1))</f>
        <v/>
      </c>
      <c r="L19" s="18">
        <f>IF(OR(D19="",F19="",D19="NA",F19="NA"),"",ROUND(D19-F19,-1))</f>
        <v/>
      </c>
      <c r="M19" s="18">
        <f>IF(OR(C19="",G19="",C19="NA",G19="NA"),"",ROUND(C19-G19,-1))</f>
        <v/>
      </c>
      <c r="N19" s="18">
        <f>IF(OR(D19="",H19="",D19="NA",H19="NA"),"",ROUND(D19-H19,-1))</f>
        <v/>
      </c>
      <c r="O19" s="18">
        <f>IF(OR(E19="",G19="",E19="NA",G19="NA"),"",ROUND(E19-G19,-1))</f>
        <v/>
      </c>
      <c r="P19" s="18">
        <f>IF(OR(F19="",H19="",F19="NA",H19="NA"),"",ROUND(F19-H19,-1))</f>
        <v/>
      </c>
      <c r="Q19" s="18">
        <f>IF(OR(E19="",I19="",E19="NA",I19="NA"),"",ROUND(IF(E19&gt;I19,E19-I19,0),-1))</f>
        <v/>
      </c>
      <c r="R19" s="18">
        <f>IF(OR(F19="",J19="",F19="NA",J19="NA"),"",ROUND(IF(F19&gt;J19,F19-J19,0),-1))</f>
        <v/>
      </c>
      <c r="S19" s="18" t="n"/>
      <c r="T19" s="18">
        <f>IF(S19="Yes","Report","No Action")</f>
        <v/>
      </c>
      <c r="U19" s="19" t="n"/>
      <c r="V19" s="19" t="inlineStr">
        <is>
          <t>Y</t>
        </is>
      </c>
    </row>
    <row r="20" ht="15.75" customHeight="1" s="3">
      <c r="A20" s="38" t="n"/>
      <c r="B20" s="14" t="n"/>
      <c r="C20" s="15" t="n"/>
      <c r="D20" s="15" t="n"/>
      <c r="E20" s="15" t="n"/>
      <c r="F20" s="39" t="n"/>
      <c r="G20" s="39" t="n"/>
      <c r="H20" s="39" t="n"/>
      <c r="I20" s="18" t="n"/>
      <c r="J20" s="18" t="n"/>
      <c r="K20" s="18">
        <f>IF(OR(C20="",E20="",C20="NA",E20="NA"),"",ROUND(C20-E20,-1))</f>
        <v/>
      </c>
      <c r="L20" s="18">
        <f>IF(OR(D20="",F20="",D20="NA",F20="NA"),"",ROUND(D20-F20,-1))</f>
        <v/>
      </c>
      <c r="M20" s="18">
        <f>IF(OR(C20="",G20="",C20="NA",G20="NA"),"",ROUND(C20-G20,-1))</f>
        <v/>
      </c>
      <c r="N20" s="18">
        <f>IF(OR(D20="",H20="",D20="NA",H20="NA"),"",ROUND(D20-H20,-1))</f>
        <v/>
      </c>
      <c r="O20" s="18">
        <f>IF(OR(E20="",G20="",E20="NA",G20="NA"),"",ROUND(E20-G20,-1))</f>
        <v/>
      </c>
      <c r="P20" s="18">
        <f>IF(OR(F20="",H20="",F20="NA",H20="NA"),"",ROUND(F20-H20,-1))</f>
        <v/>
      </c>
      <c r="Q20" s="18">
        <f>IF(OR(E20="",I20="",E20="NA",I20="NA"),"",ROUND(IF(E20&gt;I20,E20-I20,0),-1))</f>
        <v/>
      </c>
      <c r="R20" s="18">
        <f>IF(OR(F20="",J20="",F20="NA",J20="NA"),"",ROUND(IF(F20&gt;J20,F20-J20,0),-1))</f>
        <v/>
      </c>
      <c r="S20" s="18" t="n"/>
      <c r="T20" s="18">
        <f>IF(S20="Yes","Report","No Action")</f>
        <v/>
      </c>
      <c r="U20" s="19" t="n"/>
      <c r="V20" s="19" t="inlineStr">
        <is>
          <t>Y</t>
        </is>
      </c>
    </row>
    <row r="21" ht="15.75" customHeight="1" s="3">
      <c r="A21" s="38" t="n"/>
      <c r="B21" s="14" t="n"/>
      <c r="C21" s="15" t="n"/>
      <c r="D21" s="15" t="n"/>
      <c r="E21" s="15" t="n"/>
      <c r="F21" s="39" t="n"/>
      <c r="G21" s="39" t="n"/>
      <c r="H21" s="39" t="n"/>
      <c r="I21" s="18" t="n"/>
      <c r="J21" s="18" t="n"/>
      <c r="K21" s="18">
        <f>IF(OR(C21="",E21="",C21="NA",E21="NA"),"",ROUND(C21-E21,-1))</f>
        <v/>
      </c>
      <c r="L21" s="18">
        <f>IF(OR(D21="",F21="",D21="NA",F21="NA"),"",ROUND(D21-F21,-1))</f>
        <v/>
      </c>
      <c r="M21" s="18">
        <f>IF(OR(C21="",G21="",C21="NA",G21="NA"),"",ROUND(C21-G21,-1))</f>
        <v/>
      </c>
      <c r="N21" s="18">
        <f>IF(OR(D21="",H21="",D21="NA",H21="NA"),"",ROUND(D21-H21,-1))</f>
        <v/>
      </c>
      <c r="O21" s="18">
        <f>IF(OR(E21="",G21="",E21="NA",G21="NA"),"",ROUND(E21-G21,-1))</f>
        <v/>
      </c>
      <c r="P21" s="18">
        <f>IF(OR(F21="",H21="",F21="NA",H21="NA"),"",ROUND(F21-H21,-1))</f>
        <v/>
      </c>
      <c r="Q21" s="18">
        <f>IF(OR(E21="",I21="",E21="NA",I21="NA"),"",ROUND(IF(E21&gt;I21,E21-I21,0),-1))</f>
        <v/>
      </c>
      <c r="R21" s="18">
        <f>IF(OR(F21="",J21="",F21="NA",J21="NA"),"",ROUND(IF(F21&gt;J21,F21-J21,0),-1))</f>
        <v/>
      </c>
      <c r="S21" s="18" t="n"/>
      <c r="T21" s="18">
        <f>IF(S21="Yes","Report","No Action")</f>
        <v/>
      </c>
      <c r="U21" s="19" t="n"/>
      <c r="V21" s="19" t="inlineStr">
        <is>
          <t>Y</t>
        </is>
      </c>
    </row>
    <row r="22" ht="15.75" customHeight="1" s="3">
      <c r="A22" s="38" t="n"/>
      <c r="B22" s="14" t="n"/>
      <c r="C22" s="15" t="n"/>
      <c r="D22" s="15" t="n"/>
      <c r="E22" s="15" t="n"/>
      <c r="F22" s="39" t="n"/>
      <c r="G22" s="39" t="n"/>
      <c r="H22" s="39" t="n"/>
      <c r="I22" s="18" t="n"/>
      <c r="J22" s="18" t="n"/>
      <c r="K22" s="18">
        <f>IF(OR(C22="",E22="",C22="NA",E22="NA"),"",ROUND(C22-E22,-1))</f>
        <v/>
      </c>
      <c r="L22" s="18">
        <f>IF(OR(D22="",F22="",D22="NA",F22="NA"),"",ROUND(D22-F22,-1))</f>
        <v/>
      </c>
      <c r="M22" s="18">
        <f>IF(OR(C22="",G22="",C22="NA",G22="NA"),"",ROUND(C22-G22,-1))</f>
        <v/>
      </c>
      <c r="N22" s="18">
        <f>IF(OR(D22="",H22="",D22="NA",H22="NA"),"",ROUND(D22-H22,-1))</f>
        <v/>
      </c>
      <c r="O22" s="18">
        <f>IF(OR(E22="",G22="",E22="NA",G22="NA"),"",ROUND(E22-G22,-1))</f>
        <v/>
      </c>
      <c r="P22" s="18">
        <f>IF(OR(F22="",H22="",F22="NA",H22="NA"),"",ROUND(F22-H22,-1))</f>
        <v/>
      </c>
      <c r="Q22" s="18">
        <f>IF(OR(E22="",I22="",E22="NA",I22="NA"),"",ROUND(IF(E22&gt;I22,E22-I22,0),-1))</f>
        <v/>
      </c>
      <c r="R22" s="18">
        <f>IF(OR(F22="",J22="",F22="NA",J22="NA"),"",ROUND(IF(F22&gt;J22,F22-J22,0),-1))</f>
        <v/>
      </c>
      <c r="S22" s="18" t="n"/>
      <c r="T22" s="18">
        <f>IF(S22="Yes","Report","No Action")</f>
        <v/>
      </c>
      <c r="U22" s="19" t="n"/>
      <c r="V22" s="19" t="inlineStr">
        <is>
          <t>Y</t>
        </is>
      </c>
    </row>
    <row r="23" ht="15.75" customHeight="1" s="3">
      <c r="A23" s="38" t="n"/>
      <c r="B23" s="14" t="n"/>
      <c r="C23" s="15" t="n"/>
      <c r="D23" s="15" t="n"/>
      <c r="E23" s="15" t="n"/>
      <c r="F23" s="39" t="n"/>
      <c r="G23" s="39" t="n"/>
      <c r="H23" s="39" t="n"/>
      <c r="I23" s="18" t="n"/>
      <c r="J23" s="18" t="n"/>
      <c r="K23" s="18">
        <f>IF(OR(C23="",E23="",C23="NA",E23="NA"),"",ROUND(C23-E23,-1))</f>
        <v/>
      </c>
      <c r="L23" s="18">
        <f>IF(OR(D23="",F23="",D23="NA",F23="NA"),"",ROUND(D23-F23,-1))</f>
        <v/>
      </c>
      <c r="M23" s="18">
        <f>IF(OR(C23="",G23="",C23="NA",G23="NA"),"",ROUND(C23-G23,-1))</f>
        <v/>
      </c>
      <c r="N23" s="18">
        <f>IF(OR(D23="",H23="",D23="NA",H23="NA"),"",ROUND(D23-H23,-1))</f>
        <v/>
      </c>
      <c r="O23" s="18">
        <f>IF(OR(E23="",G23="",E23="NA",G23="NA"),"",ROUND(E23-G23,-1))</f>
        <v/>
      </c>
      <c r="P23" s="18">
        <f>IF(OR(F23="",H23="",F23="NA",H23="NA"),"",ROUND(F23-H23,-1))</f>
        <v/>
      </c>
      <c r="Q23" s="18">
        <f>IF(OR(E23="",I23="",E23="NA",I23="NA"),"",ROUND(IF(E23&gt;I23,E23-I23,0),-1))</f>
        <v/>
      </c>
      <c r="R23" s="18">
        <f>IF(OR(F23="",J23="",F23="NA",J23="NA"),"",ROUND(IF(F23&gt;J23,F23-J23,0),-1))</f>
        <v/>
      </c>
      <c r="S23" s="18" t="n"/>
      <c r="T23" s="18">
        <f>IF(S23="Yes","Report","No Action")</f>
        <v/>
      </c>
      <c r="U23" s="19" t="n"/>
      <c r="V23" s="19" t="inlineStr">
        <is>
          <t>Y</t>
        </is>
      </c>
    </row>
    <row r="24" ht="15.75" customHeight="1" s="3">
      <c r="A24" s="38" t="n"/>
      <c r="B24" s="14" t="n"/>
      <c r="C24" s="15" t="n"/>
      <c r="D24" s="15" t="n"/>
      <c r="E24" s="15" t="n"/>
      <c r="F24" s="39" t="n"/>
      <c r="G24" s="39" t="n"/>
      <c r="H24" s="39" t="n"/>
      <c r="I24" s="18" t="n"/>
      <c r="J24" s="18" t="n"/>
      <c r="K24" s="18">
        <f>IF(OR(C24="",E24="",C24="NA",E24="NA"),"",ROUND(C24-E24,-1))</f>
        <v/>
      </c>
      <c r="L24" s="18">
        <f>IF(OR(D24="",F24="",D24="NA",F24="NA"),"",ROUND(D24-F24,-1))</f>
        <v/>
      </c>
      <c r="M24" s="18">
        <f>IF(OR(C24="",G24="",C24="NA",G24="NA"),"",ROUND(C24-G24,-1))</f>
        <v/>
      </c>
      <c r="N24" s="18">
        <f>IF(OR(D24="",H24="",D24="NA",H24="NA"),"",ROUND(D24-H24,-1))</f>
        <v/>
      </c>
      <c r="O24" s="18">
        <f>IF(OR(E24="",G24="",E24="NA",G24="NA"),"",ROUND(E24-G24,-1))</f>
        <v/>
      </c>
      <c r="P24" s="18">
        <f>IF(OR(F24="",H24="",F24="NA",H24="NA"),"",ROUND(F24-H24,-1))</f>
        <v/>
      </c>
      <c r="Q24" s="18">
        <f>IF(OR(E24="",I24="",E24="NA",I24="NA"),"",ROUND(IF(E24&gt;I24,E24-I24,0),-1))</f>
        <v/>
      </c>
      <c r="R24" s="18">
        <f>IF(OR(F24="",J24="",F24="NA",J24="NA"),"",ROUND(IF(F24&gt;J24,F24-J24,0),-1))</f>
        <v/>
      </c>
      <c r="S24" s="18" t="n"/>
      <c r="T24" s="18">
        <f>IF(S24="Yes","Report","No Action")</f>
        <v/>
      </c>
      <c r="U24" s="19" t="n"/>
      <c r="V24" s="19" t="inlineStr">
        <is>
          <t>Y</t>
        </is>
      </c>
    </row>
    <row r="25" ht="15.75" customHeight="1" s="3">
      <c r="A25" s="38" t="n"/>
      <c r="B25" s="14" t="n"/>
      <c r="C25" s="15" t="n"/>
      <c r="D25" s="15" t="n"/>
      <c r="E25" s="15" t="n"/>
      <c r="F25" s="39" t="n"/>
      <c r="G25" s="39" t="n"/>
      <c r="H25" s="39" t="n"/>
      <c r="I25" s="18" t="n"/>
      <c r="J25" s="18" t="n"/>
      <c r="K25" s="18">
        <f>IF(OR(C25="",E25="",C25="NA",E25="NA"),"",ROUND(C25-E25,-1))</f>
        <v/>
      </c>
      <c r="L25" s="18">
        <f>IF(OR(D25="",F25="",D25="NA",F25="NA"),"",ROUND(D25-F25,-1))</f>
        <v/>
      </c>
      <c r="M25" s="18">
        <f>IF(OR(C25="",G25="",C25="NA",G25="NA"),"",ROUND(C25-G25,-1))</f>
        <v/>
      </c>
      <c r="N25" s="18">
        <f>IF(OR(D25="",H25="",D25="NA",H25="NA"),"",ROUND(D25-H25,-1))</f>
        <v/>
      </c>
      <c r="O25" s="18">
        <f>IF(OR(E25="",G25="",E25="NA",G25="NA"),"",ROUND(E25-G25,-1))</f>
        <v/>
      </c>
      <c r="P25" s="18">
        <f>IF(OR(F25="",H25="",F25="NA",H25="NA"),"",ROUND(F25-H25,-1))</f>
        <v/>
      </c>
      <c r="Q25" s="18">
        <f>IF(OR(E25="",I25="",E25="NA",I25="NA"),"",ROUND(IF(E25&gt;I25,E25-I25,0),-1))</f>
        <v/>
      </c>
      <c r="R25" s="18">
        <f>IF(OR(F25="",J25="",F25="NA",J25="NA"),"",ROUND(IF(F25&gt;J25,F25-J25,0),-1))</f>
        <v/>
      </c>
      <c r="S25" s="18" t="n"/>
      <c r="T25" s="18">
        <f>IF(S25="Yes","Report","No Action")</f>
        <v/>
      </c>
      <c r="U25" s="19" t="n"/>
      <c r="V25" s="19" t="inlineStr">
        <is>
          <t>Y</t>
        </is>
      </c>
    </row>
    <row r="26" ht="15.75" customHeight="1" s="3">
      <c r="A26" s="38" t="n"/>
      <c r="B26" s="14" t="n"/>
      <c r="C26" s="15" t="n"/>
      <c r="D26" s="15" t="n"/>
      <c r="E26" s="15" t="n"/>
      <c r="F26" s="39" t="n"/>
      <c r="G26" s="39" t="n"/>
      <c r="H26" s="39" t="n"/>
      <c r="I26" s="18" t="n"/>
      <c r="J26" s="18" t="n"/>
      <c r="K26" s="18">
        <f>IF(OR(C26="",E26="",C26="NA",E26="NA"),"",ROUND(C26-E26,-1))</f>
        <v/>
      </c>
      <c r="L26" s="18">
        <f>IF(OR(D26="",F26="",D26="NA",F26="NA"),"",ROUND(D26-F26,-1))</f>
        <v/>
      </c>
      <c r="M26" s="18">
        <f>IF(OR(C26="",G26="",C26="NA",G26="NA"),"",ROUND(C26-G26,-1))</f>
        <v/>
      </c>
      <c r="N26" s="18">
        <f>IF(OR(D26="",H26="",D26="NA",H26="NA"),"",ROUND(D26-H26,-1))</f>
        <v/>
      </c>
      <c r="O26" s="18">
        <f>IF(OR(E26="",G26="",E26="NA",G26="NA"),"",ROUND(E26-G26,-1))</f>
        <v/>
      </c>
      <c r="P26" s="18">
        <f>IF(OR(F26="",H26="",F26="NA",H26="NA"),"",ROUND(F26-H26,-1))</f>
        <v/>
      </c>
      <c r="Q26" s="18">
        <f>IF(OR(E26="",I26="",E26="NA",I26="NA"),"",ROUND(IF(E26&gt;I26,E26-I26,0),-1))</f>
        <v/>
      </c>
      <c r="R26" s="18">
        <f>IF(OR(F26="",J26="",F26="NA",J26="NA"),"",ROUND(IF(F26&gt;J26,F26-J26,0),-1))</f>
        <v/>
      </c>
      <c r="S26" s="18" t="n"/>
      <c r="T26" s="18">
        <f>IF(S26="Yes","Report","No Action")</f>
        <v/>
      </c>
      <c r="U26" s="19" t="n"/>
      <c r="V26" s="19" t="inlineStr">
        <is>
          <t>Y</t>
        </is>
      </c>
    </row>
    <row r="27" ht="15.75" customHeight="1" s="3">
      <c r="A27" s="38" t="n"/>
      <c r="B27" s="14" t="n"/>
      <c r="C27" s="15" t="n"/>
      <c r="D27" s="15" t="n"/>
      <c r="E27" s="15" t="n"/>
      <c r="F27" s="39" t="n"/>
      <c r="G27" s="39" t="n"/>
      <c r="H27" s="39" t="n"/>
      <c r="I27" s="18" t="n"/>
      <c r="J27" s="18" t="n"/>
      <c r="K27" s="18">
        <f>IF(OR(C27="",E27="",C27="NA",E27="NA"),"",ROUND(C27-E27,-1))</f>
        <v/>
      </c>
      <c r="L27" s="18">
        <f>IF(OR(D27="",F27="",D27="NA",F27="NA"),"",ROUND(D27-F27,-1))</f>
        <v/>
      </c>
      <c r="M27" s="18">
        <f>IF(OR(C27="",G27="",C27="NA",G27="NA"),"",ROUND(C27-G27,-1))</f>
        <v/>
      </c>
      <c r="N27" s="18">
        <f>IF(OR(D27="",H27="",D27="NA",H27="NA"),"",ROUND(D27-H27,-1))</f>
        <v/>
      </c>
      <c r="O27" s="18">
        <f>IF(OR(E27="",G27="",E27="NA",G27="NA"),"",ROUND(E27-G27,-1))</f>
        <v/>
      </c>
      <c r="P27" s="18">
        <f>IF(OR(F27="",H27="",F27="NA",H27="NA"),"",ROUND(F27-H27,-1))</f>
        <v/>
      </c>
      <c r="Q27" s="18">
        <f>IF(OR(E27="",I27="",E27="NA",I27="NA"),"",ROUND(IF(E27&gt;I27,E27-I27,0),-1))</f>
        <v/>
      </c>
      <c r="R27" s="18">
        <f>IF(OR(F27="",J27="",F27="NA",J27="NA"),"",ROUND(IF(F27&gt;J27,F27-J27,0),-1))</f>
        <v/>
      </c>
      <c r="S27" s="18" t="n"/>
      <c r="T27" s="18">
        <f>IF(S27="Yes","Report","No Action")</f>
        <v/>
      </c>
      <c r="U27" s="19" t="n"/>
      <c r="V27" s="19" t="inlineStr">
        <is>
          <t>Y</t>
        </is>
      </c>
    </row>
    <row r="28" ht="15.75" customHeight="1" s="3">
      <c r="A28" s="38" t="n"/>
      <c r="B28" s="14" t="n"/>
      <c r="C28" s="15" t="n"/>
      <c r="D28" s="15" t="n"/>
      <c r="E28" s="15" t="n"/>
      <c r="F28" s="39" t="n"/>
      <c r="G28" s="39" t="n"/>
      <c r="H28" s="39" t="n"/>
      <c r="I28" s="18" t="n"/>
      <c r="J28" s="18" t="n"/>
      <c r="K28" s="18">
        <f>IF(OR(C28="",E28="",C28="NA",E28="NA"),"",ROUND(C28-E28,-1))</f>
        <v/>
      </c>
      <c r="L28" s="18">
        <f>IF(OR(D28="",F28="",D28="NA",F28="NA"),"",ROUND(D28-F28,-1))</f>
        <v/>
      </c>
      <c r="M28" s="18">
        <f>IF(OR(C28="",G28="",C28="NA",G28="NA"),"",ROUND(C28-G28,-1))</f>
        <v/>
      </c>
      <c r="N28" s="18">
        <f>IF(OR(D28="",H28="",D28="NA",H28="NA"),"",ROUND(D28-H28,-1))</f>
        <v/>
      </c>
      <c r="O28" s="18">
        <f>IF(OR(E28="",G28="",E28="NA",G28="NA"),"",ROUND(E28-G28,-1))</f>
        <v/>
      </c>
      <c r="P28" s="18">
        <f>IF(OR(F28="",H28="",F28="NA",H28="NA"),"",ROUND(F28-H28,-1))</f>
        <v/>
      </c>
      <c r="Q28" s="18">
        <f>IF(OR(E28="",I28="",E28="NA",I28="NA"),"",ROUND(IF(E28&gt;I28,E28-I28,0),-1))</f>
        <v/>
      </c>
      <c r="R28" s="18">
        <f>IF(OR(F28="",J28="",F28="NA",J28="NA"),"",ROUND(IF(F28&gt;J28,F28-J28,0),-1))</f>
        <v/>
      </c>
      <c r="S28" s="18" t="n"/>
      <c r="T28" s="18">
        <f>IF(S28="Yes","Report","No Action")</f>
        <v/>
      </c>
      <c r="U28" s="19" t="n"/>
      <c r="V28" s="19" t="inlineStr">
        <is>
          <t>Y</t>
        </is>
      </c>
    </row>
    <row r="29" ht="15.75" customHeight="1" s="3">
      <c r="A29" s="38" t="n"/>
      <c r="B29" s="14" t="n"/>
      <c r="C29" s="15" t="n"/>
      <c r="D29" s="15" t="n"/>
      <c r="E29" s="15" t="n"/>
      <c r="F29" s="39" t="n"/>
      <c r="G29" s="39" t="n"/>
      <c r="H29" s="39" t="n"/>
      <c r="I29" s="18" t="n"/>
      <c r="J29" s="18" t="n"/>
      <c r="K29" s="18">
        <f>IF(OR(C29="",E29="",C29="NA",E29="NA"),"",ROUND(C29-E29,-1))</f>
        <v/>
      </c>
      <c r="L29" s="18">
        <f>IF(OR(D29="",F29="",D29="NA",F29="NA"),"",ROUND(D29-F29,-1))</f>
        <v/>
      </c>
      <c r="M29" s="18">
        <f>IF(OR(C29="",G29="",C29="NA",G29="NA"),"",ROUND(C29-G29,-1))</f>
        <v/>
      </c>
      <c r="N29" s="18">
        <f>IF(OR(D29="",H29="",D29="NA",H29="NA"),"",ROUND(D29-H29,-1))</f>
        <v/>
      </c>
      <c r="O29" s="18">
        <f>IF(OR(E29="",G29="",E29="NA",G29="NA"),"",ROUND(E29-G29,-1))</f>
        <v/>
      </c>
      <c r="P29" s="18">
        <f>IF(OR(F29="",H29="",F29="NA",H29="NA"),"",ROUND(F29-H29,-1))</f>
        <v/>
      </c>
      <c r="Q29" s="18">
        <f>IF(OR(E29="",I29="",E29="NA",I29="NA"),"",ROUND(IF(E29&gt;I29,E29-I29,0),-1))</f>
        <v/>
      </c>
      <c r="R29" s="18">
        <f>IF(OR(F29="",J29="",F29="NA",J29="NA"),"",ROUND(IF(F29&gt;J29,F29-J29,0),-1))</f>
        <v/>
      </c>
      <c r="S29" s="18" t="n"/>
      <c r="T29" s="18">
        <f>IF(S29="Yes","Report","No Action")</f>
        <v/>
      </c>
      <c r="U29" s="19" t="n"/>
      <c r="V29" s="19" t="inlineStr">
        <is>
          <t>Y</t>
        </is>
      </c>
    </row>
    <row r="30" ht="15.75" customHeight="1" s="3">
      <c r="A30" s="38" t="n"/>
      <c r="B30" s="14" t="n"/>
      <c r="C30" s="15" t="n"/>
      <c r="D30" s="15" t="n"/>
      <c r="E30" s="15" t="n"/>
      <c r="F30" s="39" t="n"/>
      <c r="G30" s="39" t="n"/>
      <c r="H30" s="39" t="n"/>
      <c r="I30" s="18" t="n"/>
      <c r="J30" s="18" t="n"/>
      <c r="K30" s="18">
        <f>IF(OR(C30="",E30="",C30="NA",E30="NA"),"",ROUND(C30-E30,-1))</f>
        <v/>
      </c>
      <c r="L30" s="18">
        <f>IF(OR(D30="",F30="",D30="NA",F30="NA"),"",ROUND(D30-F30,-1))</f>
        <v/>
      </c>
      <c r="M30" s="18">
        <f>IF(OR(C30="",G30="",C30="NA",G30="NA"),"",ROUND(C30-G30,-1))</f>
        <v/>
      </c>
      <c r="N30" s="18">
        <f>IF(OR(D30="",H30="",D30="NA",H30="NA"),"",ROUND(D30-H30,-1))</f>
        <v/>
      </c>
      <c r="O30" s="18">
        <f>IF(OR(E30="",G30="",E30="NA",G30="NA"),"",ROUND(E30-G30,-1))</f>
        <v/>
      </c>
      <c r="P30" s="18">
        <f>IF(OR(F30="",H30="",F30="NA",H30="NA"),"",ROUND(F30-H30,-1))</f>
        <v/>
      </c>
      <c r="Q30" s="18">
        <f>IF(OR(E30="",I30="",E30="NA",I30="NA"),"",ROUND(IF(E30&gt;I30,E30-I30,0),-1))</f>
        <v/>
      </c>
      <c r="R30" s="18">
        <f>IF(OR(F30="",J30="",F30="NA",J30="NA"),"",ROUND(IF(F30&gt;J30,F30-J30,0),-1))</f>
        <v/>
      </c>
      <c r="S30" s="18" t="n"/>
      <c r="T30" s="18">
        <f>IF(S30="Yes","Report","No Action")</f>
        <v/>
      </c>
      <c r="U30" s="19" t="n"/>
      <c r="V30" s="19" t="inlineStr">
        <is>
          <t>Y</t>
        </is>
      </c>
    </row>
    <row r="31" ht="15.75" customHeight="1" s="3">
      <c r="A31" s="38" t="n"/>
      <c r="B31" s="14" t="n"/>
      <c r="C31" s="15" t="n"/>
      <c r="D31" s="15" t="n"/>
      <c r="E31" s="15" t="n"/>
      <c r="F31" s="39" t="n"/>
      <c r="G31" s="39" t="n"/>
      <c r="H31" s="39" t="n"/>
      <c r="I31" s="18" t="n"/>
      <c r="J31" s="18" t="n"/>
      <c r="K31" s="18">
        <f>IF(OR(C31="",E31="",C31="NA",E31="NA"),"",ROUND(C31-E31,-1))</f>
        <v/>
      </c>
      <c r="L31" s="18">
        <f>IF(OR(D31="",F31="",D31="NA",F31="NA"),"",ROUND(D31-F31,-1))</f>
        <v/>
      </c>
      <c r="M31" s="18">
        <f>IF(OR(C31="",G31="",C31="NA",G31="NA"),"",ROUND(C31-G31,-1))</f>
        <v/>
      </c>
      <c r="N31" s="18">
        <f>IF(OR(D31="",H31="",D31="NA",H31="NA"),"",ROUND(D31-H31,-1))</f>
        <v/>
      </c>
      <c r="O31" s="18">
        <f>IF(OR(E31="",G31="",E31="NA",G31="NA"),"",ROUND(E31-G31,-1))</f>
        <v/>
      </c>
      <c r="P31" s="18">
        <f>IF(OR(F31="",H31="",F31="NA",H31="NA"),"",ROUND(F31-H31,-1))</f>
        <v/>
      </c>
      <c r="Q31" s="18">
        <f>IF(OR(E31="",I31="",E31="NA",I31="NA"),"",ROUND(IF(E31&gt;I31,E31-I31,0),-1))</f>
        <v/>
      </c>
      <c r="R31" s="18">
        <f>IF(OR(F31="",J31="",F31="NA",J31="NA"),"",ROUND(IF(F31&gt;J31,F31-J31,0),-1))</f>
        <v/>
      </c>
      <c r="S31" s="18" t="n"/>
      <c r="T31" s="18">
        <f>IF(S31="Yes","Report","No Action")</f>
        <v/>
      </c>
      <c r="U31" s="19" t="n"/>
      <c r="V31" s="19" t="inlineStr">
        <is>
          <t>Y</t>
        </is>
      </c>
    </row>
    <row r="32" ht="15.75" customHeight="1" s="3">
      <c r="A32" s="38" t="n"/>
      <c r="B32" s="14" t="n"/>
      <c r="C32" s="15" t="n"/>
      <c r="D32" s="15" t="n"/>
      <c r="E32" s="15" t="n"/>
      <c r="F32" s="39" t="n"/>
      <c r="G32" s="39" t="n"/>
      <c r="H32" s="39" t="n"/>
      <c r="I32" s="18" t="n"/>
      <c r="J32" s="18" t="n"/>
      <c r="K32" s="18">
        <f>IF(OR(C32="",E32="",C32="NA",E32="NA"),"",ROUND(C32-E32,-1))</f>
        <v/>
      </c>
      <c r="L32" s="18">
        <f>IF(OR(D32="",F32="",D32="NA",F32="NA"),"",ROUND(D32-F32,-1))</f>
        <v/>
      </c>
      <c r="M32" s="18">
        <f>IF(OR(C32="",G32="",C32="NA",G32="NA"),"",ROUND(C32-G32,-1))</f>
        <v/>
      </c>
      <c r="N32" s="18">
        <f>IF(OR(D32="",H32="",D32="NA",H32="NA"),"",ROUND(D32-H32,-1))</f>
        <v/>
      </c>
      <c r="O32" s="18">
        <f>IF(OR(E32="",G32="",E32="NA",G32="NA"),"",ROUND(E32-G32,-1))</f>
        <v/>
      </c>
      <c r="P32" s="18">
        <f>IF(OR(F32="",H32="",F32="NA",H32="NA"),"",ROUND(F32-H32,-1))</f>
        <v/>
      </c>
      <c r="Q32" s="18">
        <f>IF(OR(E32="",I32="",E32="NA",I32="NA"),"",ROUND(IF(E32&gt;I32,E32-I32,0),-1))</f>
        <v/>
      </c>
      <c r="R32" s="18">
        <f>IF(OR(F32="",J32="",F32="NA",J32="NA"),"",ROUND(IF(F32&gt;J32,F32-J32,0),-1))</f>
        <v/>
      </c>
      <c r="S32" s="18" t="n"/>
      <c r="T32" s="18">
        <f>IF(S32="Yes","Report","No Action")</f>
        <v/>
      </c>
      <c r="U32" s="19" t="n"/>
      <c r="V32" s="19" t="inlineStr">
        <is>
          <t>Y</t>
        </is>
      </c>
    </row>
    <row r="33" ht="15.75" customHeight="1" s="3">
      <c r="A33" s="38" t="n"/>
      <c r="B33" s="14" t="n"/>
      <c r="C33" s="15" t="n"/>
      <c r="D33" s="15" t="n"/>
      <c r="E33" s="15" t="n"/>
      <c r="F33" s="39" t="n"/>
      <c r="G33" s="39" t="n"/>
      <c r="H33" s="39" t="n"/>
      <c r="I33" s="18" t="n"/>
      <c r="J33" s="18" t="n"/>
      <c r="K33" s="18">
        <f>IF(OR(C33="",E33="",C33="NA",E33="NA"),"",ROUND(C33-E33,-1))</f>
        <v/>
      </c>
      <c r="L33" s="18">
        <f>IF(OR(D33="",F33="",D33="NA",F33="NA"),"",ROUND(D33-F33,-1))</f>
        <v/>
      </c>
      <c r="M33" s="18">
        <f>IF(OR(C33="",G33="",C33="NA",G33="NA"),"",ROUND(C33-G33,-1))</f>
        <v/>
      </c>
      <c r="N33" s="18">
        <f>IF(OR(D33="",H33="",D33="NA",H33="NA"),"",ROUND(D33-H33,-1))</f>
        <v/>
      </c>
      <c r="O33" s="18">
        <f>IF(OR(E33="",G33="",E33="NA",G33="NA"),"",ROUND(E33-G33,-1))</f>
        <v/>
      </c>
      <c r="P33" s="18">
        <f>IF(OR(F33="",H33="",F33="NA",H33="NA"),"",ROUND(F33-H33,-1))</f>
        <v/>
      </c>
      <c r="Q33" s="18">
        <f>IF(OR(E33="",I33="",E33="NA",I33="NA"),"",ROUND(IF(E33&gt;I33,E33-I33,0),-1))</f>
        <v/>
      </c>
      <c r="R33" s="18">
        <f>IF(OR(F33="",J33="",F33="NA",J33="NA"),"",ROUND(IF(F33&gt;J33,F33-J33,0),-1))</f>
        <v/>
      </c>
      <c r="S33" s="18" t="n"/>
      <c r="T33" s="18">
        <f>IF(S33="Yes","Report","No Action")</f>
        <v/>
      </c>
      <c r="U33" s="19" t="n"/>
      <c r="V33" s="19" t="inlineStr">
        <is>
          <t>Y</t>
        </is>
      </c>
    </row>
    <row r="34" ht="15.75" customHeight="1" s="3">
      <c r="A34" s="38" t="n"/>
      <c r="B34" s="14" t="n"/>
      <c r="C34" s="15" t="n"/>
      <c r="D34" s="15" t="n"/>
      <c r="E34" s="15" t="n"/>
      <c r="F34" s="39" t="n"/>
      <c r="G34" s="39" t="n"/>
      <c r="H34" s="39" t="n"/>
      <c r="I34" s="18" t="n"/>
      <c r="J34" s="18" t="n"/>
      <c r="K34" s="18">
        <f>IF(OR(C34="",E34="",C34="NA",E34="NA"),"",ROUND(C34-E34,-1))</f>
        <v/>
      </c>
      <c r="L34" s="18">
        <f>IF(OR(D34="",F34="",D34="NA",F34="NA"),"",ROUND(D34-F34,-1))</f>
        <v/>
      </c>
      <c r="M34" s="18">
        <f>IF(OR(C34="",G34="",C34="NA",G34="NA"),"",ROUND(C34-G34,-1))</f>
        <v/>
      </c>
      <c r="N34" s="18">
        <f>IF(OR(D34="",H34="",D34="NA",H34="NA"),"",ROUND(D34-H34,-1))</f>
        <v/>
      </c>
      <c r="O34" s="18">
        <f>IF(OR(E34="",G34="",E34="NA",G34="NA"),"",ROUND(E34-G34,-1))</f>
        <v/>
      </c>
      <c r="P34" s="18">
        <f>IF(OR(F34="",H34="",F34="NA",H34="NA"),"",ROUND(F34-H34,-1))</f>
        <v/>
      </c>
      <c r="Q34" s="18">
        <f>IF(OR(E34="",I34="",E34="NA",I34="NA"),"",ROUND(IF(E34&gt;I34,E34-I34,0),-1))</f>
        <v/>
      </c>
      <c r="R34" s="18">
        <f>IF(OR(F34="",J34="",F34="NA",J34="NA"),"",ROUND(IF(F34&gt;J34,F34-J34,0),-1))</f>
        <v/>
      </c>
      <c r="S34" s="18" t="n"/>
      <c r="T34" s="18">
        <f>IF(S34="Yes","Report","No Action")</f>
        <v/>
      </c>
      <c r="U34" s="19" t="n"/>
      <c r="V34" s="19" t="inlineStr">
        <is>
          <t>Y</t>
        </is>
      </c>
    </row>
    <row r="35" ht="15.75" customHeight="1" s="3">
      <c r="A35" s="38" t="n"/>
      <c r="B35" s="14" t="n"/>
      <c r="C35" s="15" t="n"/>
      <c r="D35" s="15" t="n"/>
      <c r="E35" s="15" t="n"/>
      <c r="F35" s="39" t="n"/>
      <c r="G35" s="39" t="n"/>
      <c r="H35" s="39" t="n"/>
      <c r="I35" s="18" t="n"/>
      <c r="J35" s="18" t="n"/>
      <c r="K35" s="18">
        <f>IF(OR(C35="",E35="",C35="NA",E35="NA"),"",ROUND(C35-E35,-1))</f>
        <v/>
      </c>
      <c r="L35" s="18">
        <f>IF(OR(D35="",F35="",D35="NA",F35="NA"),"",ROUND(D35-F35,-1))</f>
        <v/>
      </c>
      <c r="M35" s="18">
        <f>IF(OR(C35="",G35="",C35="NA",G35="NA"),"",ROUND(C35-G35,-1))</f>
        <v/>
      </c>
      <c r="N35" s="18">
        <f>IF(OR(D35="",H35="",D35="NA",H35="NA"),"",ROUND(D35-H35,-1))</f>
        <v/>
      </c>
      <c r="O35" s="18">
        <f>IF(OR(E35="",G35="",E35="NA",G35="NA"),"",ROUND(E35-G35,-1))</f>
        <v/>
      </c>
      <c r="P35" s="18">
        <f>IF(OR(F35="",H35="",F35="NA",H35="NA"),"",ROUND(F35-H35,-1))</f>
        <v/>
      </c>
      <c r="Q35" s="18">
        <f>IF(OR(E35="",I35="",E35="NA",I35="NA"),"",ROUND(IF(E35&gt;I35,E35-I35,0),-1))</f>
        <v/>
      </c>
      <c r="R35" s="18">
        <f>IF(OR(F35="",J35="",F35="NA",J35="NA"),"",ROUND(IF(F35&gt;J35,F35-J35,0),-1))</f>
        <v/>
      </c>
      <c r="S35" s="18" t="n"/>
      <c r="T35" s="18">
        <f>IF(S35="Yes","Report","No Action")</f>
        <v/>
      </c>
      <c r="U35" s="19" t="n"/>
      <c r="V35" s="19" t="inlineStr">
        <is>
          <t>Y</t>
        </is>
      </c>
    </row>
    <row r="36" ht="15.75" customHeight="1" s="3">
      <c r="A36" s="38" t="n"/>
      <c r="B36" s="14" t="n"/>
      <c r="C36" s="15" t="n"/>
      <c r="D36" s="15" t="n"/>
      <c r="E36" s="15" t="n"/>
      <c r="F36" s="39" t="n"/>
      <c r="G36" s="39" t="n"/>
      <c r="H36" s="39" t="n"/>
      <c r="I36" s="18" t="n"/>
      <c r="J36" s="18" t="n"/>
      <c r="K36" s="18">
        <f>IF(OR(C36="",E36="",C36="NA",E36="NA"),"",ROUND(C36-E36,-1))</f>
        <v/>
      </c>
      <c r="L36" s="18">
        <f>IF(OR(D36="",F36="",D36="NA",F36="NA"),"",ROUND(D36-F36,-1))</f>
        <v/>
      </c>
      <c r="M36" s="18">
        <f>IF(OR(C36="",G36="",C36="NA",G36="NA"),"",ROUND(C36-G36,-1))</f>
        <v/>
      </c>
      <c r="N36" s="18">
        <f>IF(OR(D36="",H36="",D36="NA",H36="NA"),"",ROUND(D36-H36,-1))</f>
        <v/>
      </c>
      <c r="O36" s="18">
        <f>IF(OR(E36="",G36="",E36="NA",G36="NA"),"",ROUND(E36-G36,-1))</f>
        <v/>
      </c>
      <c r="P36" s="18">
        <f>IF(OR(F36="",H36="",F36="NA",H36="NA"),"",ROUND(F36-H36,-1))</f>
        <v/>
      </c>
      <c r="Q36" s="18">
        <f>IF(OR(E36="",I36="",E36="NA",I36="NA"),"",ROUND(IF(E36&gt;I36,E36-I36,0),-1))</f>
        <v/>
      </c>
      <c r="R36" s="18">
        <f>IF(OR(F36="",J36="",F36="NA",J36="NA"),"",ROUND(IF(F36&gt;J36,F36-J36,0),-1))</f>
        <v/>
      </c>
      <c r="S36" s="18" t="n"/>
      <c r="T36" s="18">
        <f>IF(S36="Yes","Report","No Action")</f>
        <v/>
      </c>
      <c r="U36" s="19" t="n"/>
      <c r="V36" s="19" t="inlineStr">
        <is>
          <t>Y</t>
        </is>
      </c>
    </row>
    <row r="37" ht="15.75" customHeight="1" s="3">
      <c r="A37" s="38" t="n"/>
      <c r="B37" s="14" t="n"/>
      <c r="C37" s="15" t="n"/>
      <c r="D37" s="15" t="n"/>
      <c r="E37" s="15" t="n"/>
      <c r="F37" s="39" t="n"/>
      <c r="G37" s="39" t="n"/>
      <c r="H37" s="39" t="n"/>
      <c r="I37" s="18" t="n"/>
      <c r="J37" s="18" t="n"/>
      <c r="K37" s="18">
        <f>IF(OR(C37="",E37="",C37="NA",E37="NA"),"",ROUND(C37-E37,-1))</f>
        <v/>
      </c>
      <c r="L37" s="18">
        <f>IF(OR(D37="",F37="",D37="NA",F37="NA"),"",ROUND(D37-F37,-1))</f>
        <v/>
      </c>
      <c r="M37" s="18">
        <f>IF(OR(C37="",G37="",C37="NA",G37="NA"),"",ROUND(C37-G37,-1))</f>
        <v/>
      </c>
      <c r="N37" s="18">
        <f>IF(OR(D37="",H37="",D37="NA",H37="NA"),"",ROUND(D37-H37,-1))</f>
        <v/>
      </c>
      <c r="O37" s="18">
        <f>IF(OR(E37="",G37="",E37="NA",G37="NA"),"",ROUND(E37-G37,-1))</f>
        <v/>
      </c>
      <c r="P37" s="18">
        <f>IF(OR(F37="",H37="",F37="NA",H37="NA"),"",ROUND(F37-H37,-1))</f>
        <v/>
      </c>
      <c r="Q37" s="18">
        <f>IF(OR(E37="",I37="",E37="NA",I37="NA"),"",ROUND(IF(E37&gt;I37,E37-I37,0),-1))</f>
        <v/>
      </c>
      <c r="R37" s="18">
        <f>IF(OR(F37="",J37="",F37="NA",J37="NA"),"",ROUND(IF(F37&gt;J37,F37-J37,0),-1))</f>
        <v/>
      </c>
      <c r="S37" s="18" t="n"/>
      <c r="T37" s="18">
        <f>IF(S37="Yes","Report","No Action")</f>
        <v/>
      </c>
      <c r="U37" s="19" t="n"/>
      <c r="V37" s="19" t="inlineStr">
        <is>
          <t>Y</t>
        </is>
      </c>
    </row>
    <row r="38" ht="15.75" customHeight="1" s="3">
      <c r="A38" s="38" t="n"/>
      <c r="B38" s="14" t="n"/>
      <c r="C38" s="15" t="n"/>
      <c r="D38" s="15" t="n"/>
      <c r="E38" s="15" t="n"/>
      <c r="F38" s="39" t="n"/>
      <c r="G38" s="39" t="n"/>
      <c r="H38" s="39" t="n"/>
      <c r="I38" s="18" t="n"/>
      <c r="J38" s="18" t="n"/>
      <c r="K38" s="18">
        <f>IF(OR(C38="",E38="",C38="NA",E38="NA"),"",ROUND(C38-E38,-1))</f>
        <v/>
      </c>
      <c r="L38" s="18">
        <f>IF(OR(D38="",F38="",D38="NA",F38="NA"),"",ROUND(D38-F38,-1))</f>
        <v/>
      </c>
      <c r="M38" s="18">
        <f>IF(OR(C38="",G38="",C38="NA",G38="NA"),"",ROUND(C38-G38,-1))</f>
        <v/>
      </c>
      <c r="N38" s="18">
        <f>IF(OR(D38="",H38="",D38="NA",H38="NA"),"",ROUND(D38-H38,-1))</f>
        <v/>
      </c>
      <c r="O38" s="18">
        <f>IF(OR(E38="",G38="",E38="NA",G38="NA"),"",ROUND(E38-G38,-1))</f>
        <v/>
      </c>
      <c r="P38" s="18">
        <f>IF(OR(F38="",H38="",F38="NA",H38="NA"),"",ROUND(F38-H38,-1))</f>
        <v/>
      </c>
      <c r="Q38" s="18">
        <f>IF(OR(E38="",I38="",E38="NA",I38="NA"),"",ROUND(IF(E38&gt;I38,E38-I38,0),-1))</f>
        <v/>
      </c>
      <c r="R38" s="18">
        <f>IF(OR(F38="",J38="",F38="NA",J38="NA"),"",ROUND(IF(F38&gt;J38,F38-J38,0),-1))</f>
        <v/>
      </c>
      <c r="S38" s="18" t="n"/>
      <c r="T38" s="18">
        <f>IF(S38="Yes","Report","No Action")</f>
        <v/>
      </c>
      <c r="U38" s="19" t="n"/>
      <c r="V38" s="19" t="inlineStr">
        <is>
          <t>Y</t>
        </is>
      </c>
    </row>
    <row r="39" ht="15.75" customHeight="1" s="3">
      <c r="A39" s="38" t="n"/>
      <c r="B39" s="14" t="n"/>
      <c r="C39" s="15" t="n"/>
      <c r="D39" s="15" t="n"/>
      <c r="E39" s="15" t="n"/>
      <c r="F39" s="39" t="n"/>
      <c r="G39" s="39" t="n"/>
      <c r="H39" s="39" t="n"/>
      <c r="I39" s="18" t="n"/>
      <c r="J39" s="18" t="n"/>
      <c r="K39" s="18">
        <f>IF(OR(C39="",E39="",C39="NA",E39="NA"),"",ROUND(C39-E39,-1))</f>
        <v/>
      </c>
      <c r="L39" s="18">
        <f>IF(OR(D39="",F39="",D39="NA",F39="NA"),"",ROUND(D39-F39,-1))</f>
        <v/>
      </c>
      <c r="M39" s="18">
        <f>IF(OR(C39="",G39="",C39="NA",G39="NA"),"",ROUND(C39-G39,-1))</f>
        <v/>
      </c>
      <c r="N39" s="18">
        <f>IF(OR(D39="",H39="",D39="NA",H39="NA"),"",ROUND(D39-H39,-1))</f>
        <v/>
      </c>
      <c r="O39" s="18">
        <f>IF(OR(E39="",G39="",E39="NA",G39="NA"),"",ROUND(E39-G39,-1))</f>
        <v/>
      </c>
      <c r="P39" s="18">
        <f>IF(OR(F39="",H39="",F39="NA",H39="NA"),"",ROUND(F39-H39,-1))</f>
        <v/>
      </c>
      <c r="Q39" s="18">
        <f>IF(OR(E39="",I39="",E39="NA",I39="NA"),"",ROUND(IF(E39&gt;I39,E39-I39,0),-1))</f>
        <v/>
      </c>
      <c r="R39" s="18">
        <f>IF(OR(F39="",J39="",F39="NA",J39="NA"),"",ROUND(IF(F39&gt;J39,F39-J39,0),-1))</f>
        <v/>
      </c>
      <c r="S39" s="18" t="n"/>
      <c r="T39" s="18">
        <f>IF(S39="Yes","Report","No Action")</f>
        <v/>
      </c>
      <c r="U39" s="19" t="n"/>
      <c r="V39" s="19" t="inlineStr">
        <is>
          <t>Y</t>
        </is>
      </c>
    </row>
    <row r="40" ht="15.75" customHeight="1" s="3">
      <c r="A40" s="38" t="n"/>
      <c r="B40" s="14" t="n"/>
      <c r="C40" s="15" t="n"/>
      <c r="D40" s="15" t="n"/>
      <c r="E40" s="15" t="n"/>
      <c r="F40" s="39" t="n"/>
      <c r="G40" s="39" t="n"/>
      <c r="H40" s="39" t="n"/>
      <c r="I40" s="18" t="n"/>
      <c r="J40" s="18" t="n"/>
      <c r="K40" s="18">
        <f>IF(OR(C40="",E40="",C40="NA",E40="NA"),"",ROUND(C40-E40,-1))</f>
        <v/>
      </c>
      <c r="L40" s="18">
        <f>IF(OR(D40="",F40="",D40="NA",F40="NA"),"",ROUND(D40-F40,-1))</f>
        <v/>
      </c>
      <c r="M40" s="18">
        <f>IF(OR(C40="",G40="",C40="NA",G40="NA"),"",ROUND(C40-G40,-1))</f>
        <v/>
      </c>
      <c r="N40" s="18">
        <f>IF(OR(D40="",H40="",D40="NA",H40="NA"),"",ROUND(D40-H40,-1))</f>
        <v/>
      </c>
      <c r="O40" s="18">
        <f>IF(OR(E40="",G40="",E40="NA",G40="NA"),"",ROUND(E40-G40,-1))</f>
        <v/>
      </c>
      <c r="P40" s="18">
        <f>IF(OR(F40="",H40="",F40="NA",H40="NA"),"",ROUND(F40-H40,-1))</f>
        <v/>
      </c>
      <c r="Q40" s="18">
        <f>IF(OR(E40="",I40="",E40="NA",I40="NA"),"",ROUND(IF(E40&gt;I40,E40-I40,0),-1))</f>
        <v/>
      </c>
      <c r="R40" s="18">
        <f>IF(OR(F40="",J40="",F40="NA",J40="NA"),"",ROUND(IF(F40&gt;J40,F40-J40,0),-1))</f>
        <v/>
      </c>
      <c r="S40" s="18" t="n"/>
      <c r="T40" s="18">
        <f>IF(S40="Yes","Report","No Action")</f>
        <v/>
      </c>
      <c r="U40" s="19" t="n"/>
      <c r="V40" s="19" t="inlineStr">
        <is>
          <t>Y</t>
        </is>
      </c>
    </row>
    <row r="41" ht="15.75" customHeight="1" s="3">
      <c r="A41" s="38" t="n"/>
      <c r="B41" s="14" t="n"/>
      <c r="C41" s="15" t="n"/>
      <c r="D41" s="15" t="n"/>
      <c r="E41" s="15" t="n"/>
      <c r="F41" s="39" t="n"/>
      <c r="G41" s="39" t="n"/>
      <c r="H41" s="39" t="n"/>
      <c r="I41" s="18" t="n"/>
      <c r="J41" s="18" t="n"/>
      <c r="K41" s="18">
        <f>IF(OR(C41="",E41="",C41="NA",E41="NA"),"",ROUND(C41-E41,-1))</f>
        <v/>
      </c>
      <c r="L41" s="18">
        <f>IF(OR(D41="",F41="",D41="NA",F41="NA"),"",ROUND(D41-F41,-1))</f>
        <v/>
      </c>
      <c r="M41" s="18">
        <f>IF(OR(C41="",G41="",C41="NA",G41="NA"),"",ROUND(C41-G41,-1))</f>
        <v/>
      </c>
      <c r="N41" s="18">
        <f>IF(OR(D41="",H41="",D41="NA",H41="NA"),"",ROUND(D41-H41,-1))</f>
        <v/>
      </c>
      <c r="O41" s="18">
        <f>IF(OR(E41="",G41="",E41="NA",G41="NA"),"",ROUND(E41-G41,-1))</f>
        <v/>
      </c>
      <c r="P41" s="18">
        <f>IF(OR(F41="",H41="",F41="NA",H41="NA"),"",ROUND(F41-H41,-1))</f>
        <v/>
      </c>
      <c r="Q41" s="18">
        <f>IF(OR(E41="",I41="",E41="NA",I41="NA"),"",ROUND(IF(E41&gt;I41,E41-I41,0),-1))</f>
        <v/>
      </c>
      <c r="R41" s="18">
        <f>IF(OR(F41="",J41="",F41="NA",J41="NA"),"",ROUND(IF(F41&gt;J41,F41-J41,0),-1))</f>
        <v/>
      </c>
      <c r="S41" s="18" t="n"/>
      <c r="T41" s="18">
        <f>IF(S41="Yes","Report","No Action")</f>
        <v/>
      </c>
      <c r="U41" s="19" t="n"/>
      <c r="V41" s="19" t="inlineStr">
        <is>
          <t>Y</t>
        </is>
      </c>
    </row>
    <row r="42" ht="15.75" customHeight="1" s="3">
      <c r="A42" s="38" t="n"/>
      <c r="B42" s="14" t="n"/>
      <c r="C42" s="15" t="n"/>
      <c r="D42" s="15" t="n"/>
      <c r="E42" s="15" t="n"/>
      <c r="F42" s="39" t="n"/>
      <c r="G42" s="39" t="n"/>
      <c r="H42" s="39" t="n"/>
      <c r="I42" s="18" t="n"/>
      <c r="J42" s="18" t="n"/>
      <c r="K42" s="18">
        <f>IF(OR(C42="",E42="",C42="NA",E42="NA"),"",ROUND(C42-E42,-1))</f>
        <v/>
      </c>
      <c r="L42" s="18">
        <f>IF(OR(D42="",F42="",D42="NA",F42="NA"),"",ROUND(D42-F42,-1))</f>
        <v/>
      </c>
      <c r="M42" s="18">
        <f>IF(OR(C42="",G42="",C42="NA",G42="NA"),"",ROUND(C42-G42,-1))</f>
        <v/>
      </c>
      <c r="N42" s="18">
        <f>IF(OR(D42="",H42="",D42="NA",H42="NA"),"",ROUND(D42-H42,-1))</f>
        <v/>
      </c>
      <c r="O42" s="18">
        <f>IF(OR(E42="",G42="",E42="NA",G42="NA"),"",ROUND(E42-G42,-1))</f>
        <v/>
      </c>
      <c r="P42" s="18">
        <f>IF(OR(F42="",H42="",F42="NA",H42="NA"),"",ROUND(F42-H42,-1))</f>
        <v/>
      </c>
      <c r="Q42" s="18">
        <f>IF(OR(E42="",I42="",E42="NA",I42="NA"),"",ROUND(IF(E42&gt;I42,E42-I42,0),-1))</f>
        <v/>
      </c>
      <c r="R42" s="18">
        <f>IF(OR(F42="",J42="",F42="NA",J42="NA"),"",ROUND(IF(F42&gt;J42,F42-J42,0),-1))</f>
        <v/>
      </c>
      <c r="S42" s="18" t="n"/>
      <c r="T42" s="18">
        <f>IF(S42="Yes","Report","No Action")</f>
        <v/>
      </c>
      <c r="U42" s="19" t="n"/>
      <c r="V42" s="19" t="inlineStr">
        <is>
          <t>Y</t>
        </is>
      </c>
    </row>
    <row r="43" ht="15.75" customHeight="1" s="3">
      <c r="A43" s="38" t="n"/>
      <c r="B43" s="14" t="n"/>
      <c r="C43" s="15" t="n"/>
      <c r="D43" s="15" t="n"/>
      <c r="E43" s="15" t="n"/>
      <c r="F43" s="39" t="n"/>
      <c r="G43" s="39" t="n"/>
      <c r="H43" s="39" t="n"/>
      <c r="I43" s="18" t="n"/>
      <c r="J43" s="18" t="n"/>
      <c r="K43" s="18">
        <f>IF(OR(C43="",E43="",C43="NA",E43="NA"),"",ROUND(C43-E43,-1))</f>
        <v/>
      </c>
      <c r="L43" s="18">
        <f>IF(OR(D43="",F43="",D43="NA",F43="NA"),"",ROUND(D43-F43,-1))</f>
        <v/>
      </c>
      <c r="M43" s="18">
        <f>IF(OR(C43="",G43="",C43="NA",G43="NA"),"",ROUND(C43-G43,-1))</f>
        <v/>
      </c>
      <c r="N43" s="18">
        <f>IF(OR(D43="",H43="",D43="NA",H43="NA"),"",ROUND(D43-H43,-1))</f>
        <v/>
      </c>
      <c r="O43" s="18">
        <f>IF(OR(E43="",G43="",E43="NA",G43="NA"),"",ROUND(E43-G43,-1))</f>
        <v/>
      </c>
      <c r="P43" s="18">
        <f>IF(OR(F43="",H43="",F43="NA",H43="NA"),"",ROUND(F43-H43,-1))</f>
        <v/>
      </c>
      <c r="Q43" s="18">
        <f>IF(OR(E43="",I43="",E43="NA",I43="NA"),"",ROUND(IF(E43&gt;I43,E43-I43,0),-1))</f>
        <v/>
      </c>
      <c r="R43" s="18">
        <f>IF(OR(F43="",J43="",F43="NA",J43="NA"),"",ROUND(IF(F43&gt;J43,F43-J43,0),-1))</f>
        <v/>
      </c>
      <c r="S43" s="18" t="n"/>
      <c r="T43" s="18">
        <f>IF(S43="Yes","Report","No Action")</f>
        <v/>
      </c>
      <c r="U43" s="19" t="n"/>
      <c r="V43" s="19" t="inlineStr">
        <is>
          <t>Y</t>
        </is>
      </c>
    </row>
    <row r="44" ht="15.75" customHeight="1" s="3">
      <c r="A44" s="38" t="n"/>
      <c r="B44" s="14" t="n"/>
      <c r="C44" s="15" t="n"/>
      <c r="D44" s="15" t="n"/>
      <c r="E44" s="15" t="n"/>
      <c r="F44" s="39" t="n"/>
      <c r="G44" s="39" t="n"/>
      <c r="H44" s="39" t="n"/>
      <c r="I44" s="18" t="n"/>
      <c r="J44" s="18" t="n"/>
      <c r="K44" s="18">
        <f>IF(OR(C44="",E44="",C44="NA",E44="NA"),"",ROUND(C44-E44,-1))</f>
        <v/>
      </c>
      <c r="L44" s="18">
        <f>IF(OR(D44="",F44="",D44="NA",F44="NA"),"",ROUND(D44-F44,-1))</f>
        <v/>
      </c>
      <c r="M44" s="18">
        <f>IF(OR(C44="",G44="",C44="NA",G44="NA"),"",ROUND(C44-G44,-1))</f>
        <v/>
      </c>
      <c r="N44" s="18">
        <f>IF(OR(D44="",H44="",D44="NA",H44="NA"),"",ROUND(D44-H44,-1))</f>
        <v/>
      </c>
      <c r="O44" s="18">
        <f>IF(OR(E44="",G44="",E44="NA",G44="NA"),"",ROUND(E44-G44,-1))</f>
        <v/>
      </c>
      <c r="P44" s="18">
        <f>IF(OR(F44="",H44="",F44="NA",H44="NA"),"",ROUND(F44-H44,-1))</f>
        <v/>
      </c>
      <c r="Q44" s="18">
        <f>IF(OR(E44="",I44="",E44="NA",I44="NA"),"",ROUND(IF(E44&gt;I44,E44-I44,0),-1))</f>
        <v/>
      </c>
      <c r="R44" s="18">
        <f>IF(OR(F44="",J44="",F44="NA",J44="NA"),"",ROUND(IF(F44&gt;J44,F44-J44,0),-1))</f>
        <v/>
      </c>
      <c r="S44" s="18" t="n"/>
      <c r="T44" s="18">
        <f>IF(S44="Yes","Report","No Action")</f>
        <v/>
      </c>
      <c r="U44" s="19" t="n"/>
      <c r="V44" s="19" t="inlineStr">
        <is>
          <t>Y</t>
        </is>
      </c>
    </row>
    <row r="45" ht="17.25" customHeight="1" s="3">
      <c r="A45" s="38" t="n"/>
      <c r="B45" s="14" t="n"/>
      <c r="C45" s="15" t="n"/>
      <c r="D45" s="15" t="n"/>
      <c r="E45" s="15" t="n"/>
      <c r="F45" s="39" t="n"/>
      <c r="G45" s="39" t="n"/>
      <c r="H45" s="39" t="n"/>
      <c r="I45" s="18" t="n"/>
      <c r="J45" s="18" t="n"/>
      <c r="K45" s="18">
        <f>IF(OR(C45="",E45="",C45="NA",E45="NA"),"",ROUND(C45-E45,-1))</f>
        <v/>
      </c>
      <c r="L45" s="18">
        <f>IF(OR(D45="",F45="",D45="NA",F45="NA"),"",ROUND(D45-F45,-1))</f>
        <v/>
      </c>
      <c r="M45" s="18">
        <f>IF(OR(C45="",G45="",C45="NA",G45="NA"),"",ROUND(C45-G45,-1))</f>
        <v/>
      </c>
      <c r="N45" s="18">
        <f>IF(OR(D45="",H45="",D45="NA",H45="NA"),"",ROUND(D45-H45,-1))</f>
        <v/>
      </c>
      <c r="O45" s="18">
        <f>IF(OR(E45="",G45="",E45="NA",G45="NA"),"",ROUND(E45-G45,-1))</f>
        <v/>
      </c>
      <c r="P45" s="18">
        <f>IF(OR(F45="",H45="",F45="NA",H45="NA"),"",ROUND(F45-H45,-1))</f>
        <v/>
      </c>
      <c r="Q45" s="18">
        <f>IF(OR(E45="",I45="",E45="NA",I45="NA"),"",ROUND(IF(E45&gt;I45,E45-I45,0),-1))</f>
        <v/>
      </c>
      <c r="R45" s="18">
        <f>IF(OR(F45="",J45="",F45="NA",J45="NA"),"",ROUND(IF(F45&gt;J45,F45-J45,0),-1))</f>
        <v/>
      </c>
      <c r="S45" s="18" t="n"/>
      <c r="T45" s="18">
        <f>IF(S45="Yes","Report","No Action")</f>
        <v/>
      </c>
      <c r="U45" s="19" t="n"/>
      <c r="V45" s="19" t="inlineStr">
        <is>
          <t>Y</t>
        </is>
      </c>
    </row>
    <row r="46" ht="17.25" customHeight="1" s="3">
      <c r="A46" s="38" t="n"/>
      <c r="B46" s="14" t="n"/>
      <c r="C46" s="15" t="n"/>
      <c r="D46" s="15" t="n"/>
      <c r="E46" s="15" t="n"/>
      <c r="F46" s="39" t="n"/>
      <c r="G46" s="39" t="n"/>
      <c r="H46" s="39" t="n"/>
      <c r="I46" s="18" t="n"/>
      <c r="J46" s="18" t="n"/>
      <c r="K46" s="18">
        <f>IF(OR(C46="",E46="",C46="NA",E46="NA"),"",ROUND(C46-E46,-1))</f>
        <v/>
      </c>
      <c r="L46" s="18">
        <f>IF(OR(D46="",F46="",D46="NA",F46="NA"),"",ROUND(D46-F46,-1))</f>
        <v/>
      </c>
      <c r="M46" s="18">
        <f>IF(OR(C46="",G46="",C46="NA",G46="NA"),"",ROUND(C46-G46,-1))</f>
        <v/>
      </c>
      <c r="N46" s="18">
        <f>IF(OR(D46="",H46="",D46="NA",H46="NA"),"",ROUND(D46-H46,-1))</f>
        <v/>
      </c>
      <c r="O46" s="18">
        <f>IF(OR(E46="",G46="",E46="NA",G46="NA"),"",ROUND(E46-G46,-1))</f>
        <v/>
      </c>
      <c r="P46" s="18">
        <f>IF(OR(F46="",H46="",F46="NA",H46="NA"),"",ROUND(F46-H46,-1))</f>
        <v/>
      </c>
      <c r="Q46" s="18">
        <f>IF(OR(E46="",I46="",E46="NA",I46="NA"),"",ROUND(IF(E46&gt;I46,E46-I46,0),-1))</f>
        <v/>
      </c>
      <c r="R46" s="18">
        <f>IF(OR(F46="",J46="",F46="NA",J46="NA"),"",ROUND(IF(F46&gt;J46,F46-J46,0),-1))</f>
        <v/>
      </c>
      <c r="S46" s="18" t="n"/>
      <c r="T46" s="18">
        <f>IF(S46="Yes","Report","No Action")</f>
        <v/>
      </c>
      <c r="U46" s="19" t="n"/>
      <c r="V46" s="19" t="inlineStr">
        <is>
          <t>Y</t>
        </is>
      </c>
    </row>
    <row r="47" ht="17.25" customHeight="1" s="3">
      <c r="A47" s="38" t="n"/>
      <c r="B47" s="14" t="n"/>
      <c r="C47" s="15" t="n"/>
      <c r="D47" s="15" t="n"/>
      <c r="E47" s="15" t="n"/>
      <c r="F47" s="39" t="n"/>
      <c r="G47" s="39" t="n"/>
      <c r="H47" s="39" t="n"/>
      <c r="I47" s="18" t="n"/>
      <c r="J47" s="18" t="n"/>
      <c r="K47" s="18">
        <f>IF(OR(C47="",E47="",C47="NA",E47="NA"),"",ROUND(C47-E47,-1))</f>
        <v/>
      </c>
      <c r="L47" s="18">
        <f>IF(OR(D47="",F47="",D47="NA",F47="NA"),"",ROUND(D47-F47,-1))</f>
        <v/>
      </c>
      <c r="M47" s="18">
        <f>IF(OR(C47="",G47="",C47="NA",G47="NA"),"",ROUND(C47-G47,-1))</f>
        <v/>
      </c>
      <c r="N47" s="18">
        <f>IF(OR(D47="",H47="",D47="NA",H47="NA"),"",ROUND(D47-H47,-1))</f>
        <v/>
      </c>
      <c r="O47" s="18">
        <f>IF(OR(E47="",G47="",E47="NA",G47="NA"),"",ROUND(E47-G47,-1))</f>
        <v/>
      </c>
      <c r="P47" s="18">
        <f>IF(OR(F47="",H47="",F47="NA",H47="NA"),"",ROUND(F47-H47,-1))</f>
        <v/>
      </c>
      <c r="Q47" s="18">
        <f>IF(OR(E47="",I47="",E47="NA",I47="NA"),"",ROUND(IF(E47&gt;I47,E47-I47,0),-1))</f>
        <v/>
      </c>
      <c r="R47" s="18">
        <f>IF(OR(F47="",J47="",F47="NA",J47="NA"),"",ROUND(IF(F47&gt;J47,F47-J47,0),-1))</f>
        <v/>
      </c>
      <c r="S47" s="18" t="n"/>
      <c r="T47" s="18">
        <f>IF(S47="Yes","Report","No Action")</f>
        <v/>
      </c>
      <c r="U47" s="19" t="n"/>
      <c r="V47" s="19" t="inlineStr">
        <is>
          <t>Y</t>
        </is>
      </c>
    </row>
    <row r="48" ht="17.25" customHeight="1" s="3">
      <c r="A48" s="38" t="n"/>
      <c r="B48" s="14" t="n"/>
      <c r="C48" s="15" t="n"/>
      <c r="D48" s="15" t="n"/>
      <c r="E48" s="15" t="n"/>
      <c r="F48" s="39" t="n"/>
      <c r="G48" s="39" t="n"/>
      <c r="H48" s="39" t="n"/>
      <c r="I48" s="18" t="n"/>
      <c r="J48" s="18" t="n"/>
      <c r="K48" s="18">
        <f>IF(OR(C48="",E48="",C48="NA",E48="NA"),"",ROUND(C48-E48,-1))</f>
        <v/>
      </c>
      <c r="L48" s="18">
        <f>IF(OR(D48="",F48="",D48="NA",F48="NA"),"",ROUND(D48-F48,-1))</f>
        <v/>
      </c>
      <c r="M48" s="18">
        <f>IF(OR(C48="",G48="",C48="NA",G48="NA"),"",ROUND(C48-G48,-1))</f>
        <v/>
      </c>
      <c r="N48" s="18">
        <f>IF(OR(D48="",H48="",D48="NA",H48="NA"),"",ROUND(D48-H48,-1))</f>
        <v/>
      </c>
      <c r="O48" s="18">
        <f>IF(OR(E48="",G48="",E48="NA",G48="NA"),"",ROUND(E48-G48,-1))</f>
        <v/>
      </c>
      <c r="P48" s="18">
        <f>IF(OR(F48="",H48="",F48="NA",H48="NA"),"",ROUND(F48-H48,-1))</f>
        <v/>
      </c>
      <c r="Q48" s="18">
        <f>IF(OR(E48="",I48="",E48="NA",I48="NA"),"",ROUND(IF(E48&gt;I48,E48-I48,0),-1))</f>
        <v/>
      </c>
      <c r="R48" s="18">
        <f>IF(OR(F48="",J48="",F48="NA",J48="NA"),"",ROUND(IF(F48&gt;J48,F48-J48,0),-1))</f>
        <v/>
      </c>
      <c r="S48" s="18" t="n"/>
      <c r="T48" s="18">
        <f>IF(S48="Yes","Report","No Action")</f>
        <v/>
      </c>
      <c r="U48" s="19" t="n"/>
      <c r="V48" s="19" t="inlineStr">
        <is>
          <t>Y</t>
        </is>
      </c>
    </row>
    <row r="49" ht="17.25" customHeight="1" s="3">
      <c r="A49" s="38" t="n"/>
      <c r="B49" s="14" t="n"/>
      <c r="C49" s="15" t="n"/>
      <c r="D49" s="15" t="n"/>
      <c r="E49" s="15" t="n"/>
      <c r="F49" s="39" t="n"/>
      <c r="G49" s="39" t="n"/>
      <c r="H49" s="39" t="n"/>
      <c r="I49" s="18" t="n"/>
      <c r="J49" s="18" t="n"/>
      <c r="K49" s="18">
        <f>IF(OR(C49="",E49="",C49="NA",E49="NA"),"",ROUND(C49-E49,-1))</f>
        <v/>
      </c>
      <c r="L49" s="18">
        <f>IF(OR(D49="",F49="",D49="NA",F49="NA"),"",ROUND(D49-F49,-1))</f>
        <v/>
      </c>
      <c r="M49" s="18">
        <f>IF(OR(C49="",G49="",C49="NA",G49="NA"),"",ROUND(C49-G49,-1))</f>
        <v/>
      </c>
      <c r="N49" s="18">
        <f>IF(OR(D49="",H49="",D49="NA",H49="NA"),"",ROUND(D49-H49,-1))</f>
        <v/>
      </c>
      <c r="O49" s="18">
        <f>IF(OR(E49="",G49="",E49="NA",G49="NA"),"",ROUND(E49-G49,-1))</f>
        <v/>
      </c>
      <c r="P49" s="18">
        <f>IF(OR(F49="",H49="",F49="NA",H49="NA"),"",ROUND(F49-H49,-1))</f>
        <v/>
      </c>
      <c r="Q49" s="18">
        <f>IF(OR(E49="",I49="",E49="NA",I49="NA"),"",ROUND(IF(E49&gt;I49,E49-I49,0),-1))</f>
        <v/>
      </c>
      <c r="R49" s="18">
        <f>IF(OR(F49="",J49="",F49="NA",J49="NA"),"",ROUND(IF(F49&gt;J49,F49-J49,0),-1))</f>
        <v/>
      </c>
      <c r="S49" s="18" t="n"/>
      <c r="T49" s="18">
        <f>IF(S49="Yes","Report","No Action")</f>
        <v/>
      </c>
      <c r="U49" s="19" t="n"/>
      <c r="V49" s="19" t="inlineStr">
        <is>
          <t>Y</t>
        </is>
      </c>
    </row>
    <row r="50" ht="17.25" customHeight="1" s="3">
      <c r="A50" s="38" t="n"/>
      <c r="B50" s="14" t="n"/>
      <c r="C50" s="15" t="n"/>
      <c r="D50" s="15" t="n"/>
      <c r="E50" s="15" t="n"/>
      <c r="F50" s="39" t="n"/>
      <c r="G50" s="39" t="n"/>
      <c r="H50" s="39" t="n"/>
      <c r="I50" s="18" t="n"/>
      <c r="J50" s="18" t="n"/>
      <c r="K50" s="18">
        <f>IF(OR(C50="",E50="",C50="NA",E50="NA"),"",ROUND(C50-E50,-1))</f>
        <v/>
      </c>
      <c r="L50" s="18">
        <f>IF(OR(D50="",F50="",D50="NA",F50="NA"),"",ROUND(D50-F50,-1))</f>
        <v/>
      </c>
      <c r="M50" s="18">
        <f>IF(OR(C50="",G50="",C50="NA",G50="NA"),"",ROUND(C50-G50,-1))</f>
        <v/>
      </c>
      <c r="N50" s="18">
        <f>IF(OR(D50="",H50="",D50="NA",H50="NA"),"",ROUND(D50-H50,-1))</f>
        <v/>
      </c>
      <c r="O50" s="18">
        <f>IF(OR(E50="",G50="",E50="NA",G50="NA"),"",ROUND(E50-G50,-1))</f>
        <v/>
      </c>
      <c r="P50" s="18">
        <f>IF(OR(F50="",H50="",F50="NA",H50="NA"),"",ROUND(F50-H50,-1))</f>
        <v/>
      </c>
      <c r="Q50" s="18">
        <f>IF(OR(E50="",I50="",E50="NA",I50="NA"),"",ROUND(IF(E50&gt;I50,E50-I50,0),-1))</f>
        <v/>
      </c>
      <c r="R50" s="18">
        <f>IF(OR(F50="",J50="",F50="NA",J50="NA"),"",ROUND(IF(F50&gt;J50,F50-J50,0),-1))</f>
        <v/>
      </c>
      <c r="S50" s="18" t="n"/>
      <c r="T50" s="18">
        <f>IF(S50="Yes","Report","No Action")</f>
        <v/>
      </c>
      <c r="U50" s="19" t="n"/>
      <c r="V50" s="19" t="inlineStr">
        <is>
          <t>Y</t>
        </is>
      </c>
    </row>
    <row r="51" ht="17.25" customHeight="1" s="3">
      <c r="A51" s="38" t="n"/>
      <c r="B51" s="14" t="n"/>
      <c r="C51" s="15" t="n"/>
      <c r="D51" s="15" t="n"/>
      <c r="E51" s="15" t="n"/>
      <c r="F51" s="39" t="n"/>
      <c r="G51" s="39" t="n"/>
      <c r="H51" s="39" t="n"/>
      <c r="I51" s="18" t="n"/>
      <c r="J51" s="18" t="n"/>
      <c r="K51" s="18">
        <f>IF(OR(C51="",E51="",C51="NA",E51="NA"),"",ROUND(C51-E51,-1))</f>
        <v/>
      </c>
      <c r="L51" s="18">
        <f>IF(OR(D51="",F51="",D51="NA",F51="NA"),"",ROUND(D51-F51,-1))</f>
        <v/>
      </c>
      <c r="M51" s="18">
        <f>IF(OR(C51="",G51="",C51="NA",G51="NA"),"",ROUND(C51-G51,-1))</f>
        <v/>
      </c>
      <c r="N51" s="18">
        <f>IF(OR(D51="",H51="",D51="NA",H51="NA"),"",ROUND(D51-H51,-1))</f>
        <v/>
      </c>
      <c r="O51" s="18">
        <f>IF(OR(E51="",G51="",E51="NA",G51="NA"),"",ROUND(E51-G51,-1))</f>
        <v/>
      </c>
      <c r="P51" s="18">
        <f>IF(OR(F51="",H51="",F51="NA",H51="NA"),"",ROUND(F51-H51,-1))</f>
        <v/>
      </c>
      <c r="Q51" s="18">
        <f>IF(OR(E51="",I51="",E51="NA",I51="NA"),"",ROUND(IF(E51&gt;I51,E51-I51,0),-1))</f>
        <v/>
      </c>
      <c r="R51" s="18">
        <f>IF(OR(F51="",J51="",F51="NA",J51="NA"),"",ROUND(IF(F51&gt;J51,F51-J51,0),-1))</f>
        <v/>
      </c>
      <c r="S51" s="18" t="n"/>
      <c r="T51" s="18">
        <f>IF(S51="Yes","Report","No Action")</f>
        <v/>
      </c>
      <c r="U51" s="19" t="n"/>
      <c r="V51" s="19" t="inlineStr">
        <is>
          <t>Y</t>
        </is>
      </c>
    </row>
    <row r="52" ht="17.25" customHeight="1" s="3">
      <c r="A52" s="38" t="n"/>
      <c r="B52" s="14" t="n"/>
      <c r="C52" s="15" t="n"/>
      <c r="D52" s="15" t="n"/>
      <c r="E52" s="15" t="n"/>
      <c r="F52" s="39" t="n"/>
      <c r="G52" s="39" t="n"/>
      <c r="H52" s="39" t="n"/>
      <c r="I52" s="18" t="n"/>
      <c r="J52" s="18" t="n"/>
      <c r="K52" s="18">
        <f>IF(OR(C52="",E52="",C52="NA",E52="NA"),"",ROUND(C52-E52,-1))</f>
        <v/>
      </c>
      <c r="L52" s="18">
        <f>IF(OR(D52="",F52="",D52="NA",F52="NA"),"",ROUND(D52-F52,-1))</f>
        <v/>
      </c>
      <c r="M52" s="18">
        <f>IF(OR(C52="",G52="",C52="NA",G52="NA"),"",ROUND(C52-G52,-1))</f>
        <v/>
      </c>
      <c r="N52" s="18">
        <f>IF(OR(D52="",H52="",D52="NA",H52="NA"),"",ROUND(D52-H52,-1))</f>
        <v/>
      </c>
      <c r="O52" s="18">
        <f>IF(OR(E52="",G52="",E52="NA",G52="NA"),"",ROUND(E52-G52,-1))</f>
        <v/>
      </c>
      <c r="P52" s="18">
        <f>IF(OR(F52="",H52="",F52="NA",H52="NA"),"",ROUND(F52-H52,-1))</f>
        <v/>
      </c>
      <c r="Q52" s="18">
        <f>IF(OR(E52="",I52="",E52="NA",I52="NA"),"",ROUND(IF(E52&gt;I52,E52-I52,0),-1))</f>
        <v/>
      </c>
      <c r="R52" s="18">
        <f>IF(OR(F52="",J52="",F52="NA",J52="NA"),"",ROUND(IF(F52&gt;J52,F52-J52,0),-1))</f>
        <v/>
      </c>
      <c r="S52" s="18" t="n"/>
      <c r="T52" s="18">
        <f>IF(S52="Yes","Report","No Action")</f>
        <v/>
      </c>
      <c r="U52" s="19" t="n"/>
      <c r="V52" s="19" t="inlineStr">
        <is>
          <t>Y</t>
        </is>
      </c>
    </row>
    <row r="53" ht="17.25" customHeight="1" s="3">
      <c r="A53" s="38" t="n"/>
      <c r="B53" s="14" t="n"/>
      <c r="C53" s="15" t="n"/>
      <c r="D53" s="15" t="n"/>
      <c r="E53" s="15" t="n"/>
      <c r="F53" s="39" t="n"/>
      <c r="G53" s="39" t="n"/>
      <c r="H53" s="39" t="n"/>
      <c r="I53" s="18" t="n"/>
      <c r="J53" s="18" t="n"/>
      <c r="K53" s="18">
        <f>IF(OR(C53="",E53="",C53="NA",E53="NA"),"",ROUND(C53-E53,-1))</f>
        <v/>
      </c>
      <c r="L53" s="18">
        <f>IF(OR(D53="",F53="",D53="NA",F53="NA"),"",ROUND(D53-F53,-1))</f>
        <v/>
      </c>
      <c r="M53" s="18">
        <f>IF(OR(C53="",G53="",C53="NA",G53="NA"),"",ROUND(C53-G53,-1))</f>
        <v/>
      </c>
      <c r="N53" s="18">
        <f>IF(OR(D53="",H53="",D53="NA",H53="NA"),"",ROUND(D53-H53,-1))</f>
        <v/>
      </c>
      <c r="O53" s="18">
        <f>IF(OR(E53="",G53="",E53="NA",G53="NA"),"",ROUND(E53-G53,-1))</f>
        <v/>
      </c>
      <c r="P53" s="18">
        <f>IF(OR(F53="",H53="",F53="NA",H53="NA"),"",ROUND(F53-H53,-1))</f>
        <v/>
      </c>
      <c r="Q53" s="18">
        <f>IF(OR(E53="",I53="",E53="NA",I53="NA"),"",ROUND(IF(E53&gt;I53,E53-I53,0),-1))</f>
        <v/>
      </c>
      <c r="R53" s="18">
        <f>IF(OR(F53="",J53="",F53="NA",J53="NA"),"",ROUND(IF(F53&gt;J53,F53-J53,0),-1))</f>
        <v/>
      </c>
      <c r="S53" s="18" t="n"/>
      <c r="T53" s="18">
        <f>IF(S53="Yes","Report","No Action")</f>
        <v/>
      </c>
      <c r="U53" s="19" t="n"/>
      <c r="V53" s="19" t="inlineStr">
        <is>
          <t>Y</t>
        </is>
      </c>
    </row>
    <row r="54" ht="17.25" customHeight="1" s="3">
      <c r="A54" s="38" t="n"/>
      <c r="B54" s="14" t="n"/>
      <c r="C54" s="15" t="n"/>
      <c r="D54" s="15" t="n"/>
      <c r="E54" s="15" t="n"/>
      <c r="F54" s="39" t="n"/>
      <c r="G54" s="39" t="n"/>
      <c r="H54" s="39" t="n"/>
      <c r="I54" s="18" t="n"/>
      <c r="J54" s="18" t="n"/>
      <c r="K54" s="18">
        <f>IF(OR(C54="",E54="",C54="NA",E54="NA"),"",ROUND(C54-E54,-1))</f>
        <v/>
      </c>
      <c r="L54" s="18">
        <f>IF(OR(D54="",F54="",D54="NA",F54="NA"),"",ROUND(D54-F54,-1))</f>
        <v/>
      </c>
      <c r="M54" s="18">
        <f>IF(OR(C54="",G54="",C54="NA",G54="NA"),"",ROUND(C54-G54,-1))</f>
        <v/>
      </c>
      <c r="N54" s="18">
        <f>IF(OR(D54="",H54="",D54="NA",H54="NA"),"",ROUND(D54-H54,-1))</f>
        <v/>
      </c>
      <c r="O54" s="18">
        <f>IF(OR(E54="",G54="",E54="NA",G54="NA"),"",ROUND(E54-G54,-1))</f>
        <v/>
      </c>
      <c r="P54" s="18">
        <f>IF(OR(F54="",H54="",F54="NA",H54="NA"),"",ROUND(F54-H54,-1))</f>
        <v/>
      </c>
      <c r="Q54" s="18">
        <f>IF(OR(E54="",I54="",E54="NA",I54="NA"),"",ROUND(IF(E54&gt;I54,E54-I54,0),-1))</f>
        <v/>
      </c>
      <c r="R54" s="18">
        <f>IF(OR(F54="",J54="",F54="NA",J54="NA"),"",ROUND(IF(F54&gt;J54,F54-J54,0),-1))</f>
        <v/>
      </c>
      <c r="S54" s="18" t="n"/>
      <c r="T54" s="18">
        <f>IF(S54="Yes","Report","No Action")</f>
        <v/>
      </c>
      <c r="U54" s="19" t="n"/>
      <c r="V54" s="19" t="inlineStr">
        <is>
          <t>Y</t>
        </is>
      </c>
    </row>
    <row r="55" ht="17.25" customHeight="1" s="3">
      <c r="A55" s="38" t="n"/>
      <c r="B55" s="14" t="n"/>
      <c r="C55" s="15" t="n"/>
      <c r="D55" s="15" t="n"/>
      <c r="E55" s="15" t="n"/>
      <c r="F55" s="39" t="n"/>
      <c r="G55" s="39" t="n"/>
      <c r="H55" s="39" t="n"/>
      <c r="I55" s="18" t="n"/>
      <c r="J55" s="18" t="n"/>
      <c r="K55" s="18">
        <f>IF(OR(C55="",E55="",C55="NA",E55="NA"),"",ROUND(C55-E55,-1))</f>
        <v/>
      </c>
      <c r="L55" s="18">
        <f>IF(OR(D55="",F55="",D55="NA",F55="NA"),"",ROUND(D55-F55,-1))</f>
        <v/>
      </c>
      <c r="M55" s="18">
        <f>IF(OR(C55="",G55="",C55="NA",G55="NA"),"",ROUND(C55-G55,-1))</f>
        <v/>
      </c>
      <c r="N55" s="18">
        <f>IF(OR(D55="",H55="",D55="NA",H55="NA"),"",ROUND(D55-H55,-1))</f>
        <v/>
      </c>
      <c r="O55" s="18">
        <f>IF(OR(E55="",G55="",E55="NA",G55="NA"),"",ROUND(E55-G55,-1))</f>
        <v/>
      </c>
      <c r="P55" s="18">
        <f>IF(OR(F55="",H55="",F55="NA",H55="NA"),"",ROUND(F55-H55,-1))</f>
        <v/>
      </c>
      <c r="Q55" s="18">
        <f>IF(OR(E55="",I55="",E55="NA",I55="NA"),"",ROUND(IF(E55&gt;I55,E55-I55,0),-1))</f>
        <v/>
      </c>
      <c r="R55" s="18">
        <f>IF(OR(F55="",J55="",F55="NA",J55="NA"),"",ROUND(IF(F55&gt;J55,F55-J55,0),-1))</f>
        <v/>
      </c>
      <c r="S55" s="18" t="n"/>
      <c r="T55" s="18">
        <f>IF(S55="Yes","Report","No Action")</f>
        <v/>
      </c>
      <c r="U55" s="19" t="n"/>
      <c r="V55" s="19" t="inlineStr">
        <is>
          <t>Y</t>
        </is>
      </c>
    </row>
    <row r="56" ht="17.25" customHeight="1" s="3">
      <c r="A56" s="38" t="n"/>
      <c r="B56" s="14" t="n"/>
      <c r="C56" s="15" t="n"/>
      <c r="D56" s="15" t="n"/>
      <c r="E56" s="15" t="n"/>
      <c r="F56" s="39" t="n"/>
      <c r="G56" s="39" t="n"/>
      <c r="H56" s="39" t="n"/>
      <c r="I56" s="18" t="n"/>
      <c r="J56" s="18" t="n"/>
      <c r="K56" s="18">
        <f>IF(OR(C56="",E56="",C56="NA",E56="NA"),"",ROUND(C56-E56,-1))</f>
        <v/>
      </c>
      <c r="L56" s="18">
        <f>IF(OR(D56="",F56="",D56="NA",F56="NA"),"",ROUND(D56-F56,-1))</f>
        <v/>
      </c>
      <c r="M56" s="18">
        <f>IF(OR(C56="",G56="",C56="NA",G56="NA"),"",ROUND(C56-G56,-1))</f>
        <v/>
      </c>
      <c r="N56" s="18">
        <f>IF(OR(D56="",H56="",D56="NA",H56="NA"),"",ROUND(D56-H56,-1))</f>
        <v/>
      </c>
      <c r="O56" s="18">
        <f>IF(OR(E56="",G56="",E56="NA",G56="NA"),"",ROUND(E56-G56,-1))</f>
        <v/>
      </c>
      <c r="P56" s="18">
        <f>IF(OR(F56="",H56="",F56="NA",H56="NA"),"",ROUND(F56-H56,-1))</f>
        <v/>
      </c>
      <c r="Q56" s="18">
        <f>IF(OR(E56="",I56="",E56="NA",I56="NA"),"",ROUND(IF(E56&gt;I56,E56-I56,0),-1))</f>
        <v/>
      </c>
      <c r="R56" s="18">
        <f>IF(OR(F56="",J56="",F56="NA",J56="NA"),"",ROUND(IF(F56&gt;J56,F56-J56,0),-1))</f>
        <v/>
      </c>
      <c r="S56" s="18" t="n"/>
      <c r="T56" s="18">
        <f>IF(S56="Yes","Report","No Action")</f>
        <v/>
      </c>
      <c r="U56" s="19" t="n"/>
      <c r="V56" s="19" t="inlineStr">
        <is>
          <t>Y</t>
        </is>
      </c>
    </row>
    <row r="57" ht="17.25" customHeight="1" s="3">
      <c r="A57" s="38" t="n"/>
      <c r="B57" s="14" t="n"/>
      <c r="C57" s="15" t="n"/>
      <c r="D57" s="15" t="n"/>
      <c r="E57" s="15" t="n"/>
      <c r="F57" s="39" t="n"/>
      <c r="G57" s="39" t="n"/>
      <c r="H57" s="39" t="n"/>
      <c r="I57" s="18" t="n"/>
      <c r="J57" s="18" t="n"/>
      <c r="K57" s="18">
        <f>IF(OR(C57="",E57="",C57="NA",E57="NA"),"",ROUND(C57-E57,-1))</f>
        <v/>
      </c>
      <c r="L57" s="18">
        <f>IF(OR(D57="",F57="",D57="NA",F57="NA"),"",ROUND(D57-F57,-1))</f>
        <v/>
      </c>
      <c r="M57" s="18">
        <f>IF(OR(C57="",G57="",C57="NA",G57="NA"),"",ROUND(C57-G57,-1))</f>
        <v/>
      </c>
      <c r="N57" s="18">
        <f>IF(OR(D57="",H57="",D57="NA",H57="NA"),"",ROUND(D57-H57,-1))</f>
        <v/>
      </c>
      <c r="O57" s="18">
        <f>IF(OR(E57="",G57="",E57="NA",G57="NA"),"",ROUND(E57-G57,-1))</f>
        <v/>
      </c>
      <c r="P57" s="18">
        <f>IF(OR(F57="",H57="",F57="NA",H57="NA"),"",ROUND(F57-H57,-1))</f>
        <v/>
      </c>
      <c r="Q57" s="18">
        <f>IF(OR(E57="",I57="",E57="NA",I57="NA"),"",ROUND(IF(E57&gt;I57,E57-I57,0),-1))</f>
        <v/>
      </c>
      <c r="R57" s="18">
        <f>IF(OR(F57="",J57="",F57="NA",J57="NA"),"",ROUND(IF(F57&gt;J57,F57-J57,0),-1))</f>
        <v/>
      </c>
      <c r="S57" s="18" t="n"/>
      <c r="T57" s="18">
        <f>IF(S57="Yes","Report","No Action")</f>
        <v/>
      </c>
      <c r="U57" s="19" t="n"/>
      <c r="V57" s="19" t="inlineStr">
        <is>
          <t>Y</t>
        </is>
      </c>
    </row>
    <row r="58" ht="17.25" customHeight="1" s="3">
      <c r="A58" s="38" t="n"/>
      <c r="B58" s="14" t="n"/>
      <c r="C58" s="15" t="n"/>
      <c r="D58" s="15" t="n"/>
      <c r="E58" s="15" t="n"/>
      <c r="F58" s="39" t="n"/>
      <c r="G58" s="39" t="n"/>
      <c r="H58" s="39" t="n"/>
      <c r="I58" s="18" t="n"/>
      <c r="J58" s="18" t="n"/>
      <c r="K58" s="18">
        <f>IF(OR(C58="",E58="",C58="NA",E58="NA"),"",ROUND(C58-E58,-1))</f>
        <v/>
      </c>
      <c r="L58" s="18">
        <f>IF(OR(D58="",F58="",D58="NA",F58="NA"),"",ROUND(D58-F58,-1))</f>
        <v/>
      </c>
      <c r="M58" s="18">
        <f>IF(OR(C58="",G58="",C58="NA",G58="NA"),"",ROUND(C58-G58,-1))</f>
        <v/>
      </c>
      <c r="N58" s="18">
        <f>IF(OR(D58="",H58="",D58="NA",H58="NA"),"",ROUND(D58-H58,-1))</f>
        <v/>
      </c>
      <c r="O58" s="18">
        <f>IF(OR(E58="",G58="",E58="NA",G58="NA"),"",ROUND(E58-G58,-1))</f>
        <v/>
      </c>
      <c r="P58" s="18">
        <f>IF(OR(F58="",H58="",F58="NA",H58="NA"),"",ROUND(F58-H58,-1))</f>
        <v/>
      </c>
      <c r="Q58" s="18">
        <f>IF(OR(E58="",I58="",E58="NA",I58="NA"),"",ROUND(IF(E58&gt;I58,E58-I58,0),-1))</f>
        <v/>
      </c>
      <c r="R58" s="18">
        <f>IF(OR(F58="",J58="",F58="NA",J58="NA"),"",ROUND(IF(F58&gt;J58,F58-J58,0),-1))</f>
        <v/>
      </c>
      <c r="S58" s="18" t="n"/>
      <c r="T58" s="18">
        <f>IF(S58="Yes","Report","No Action")</f>
        <v/>
      </c>
      <c r="U58" s="19" t="n"/>
      <c r="V58" s="19" t="inlineStr">
        <is>
          <t>Y</t>
        </is>
      </c>
    </row>
    <row r="59" ht="17.25" customHeight="1" s="3">
      <c r="A59" s="38" t="n"/>
      <c r="B59" s="14" t="n"/>
      <c r="C59" s="15" t="n"/>
      <c r="D59" s="15" t="n"/>
      <c r="E59" s="15" t="n"/>
      <c r="F59" s="39" t="n"/>
      <c r="G59" s="39" t="n"/>
      <c r="H59" s="39" t="n"/>
      <c r="I59" s="18" t="n"/>
      <c r="J59" s="18" t="n"/>
      <c r="K59" s="18">
        <f>IF(OR(C59="",E59="",C59="NA",E59="NA"),"",ROUND(C59-E59,-1))</f>
        <v/>
      </c>
      <c r="L59" s="18">
        <f>IF(OR(D59="",F59="",D59="NA",F59="NA"),"",ROUND(D59-F59,-1))</f>
        <v/>
      </c>
      <c r="M59" s="18">
        <f>IF(OR(C59="",G59="",C59="NA",G59="NA"),"",ROUND(C59-G59,-1))</f>
        <v/>
      </c>
      <c r="N59" s="18">
        <f>IF(OR(D59="",H59="",D59="NA",H59="NA"),"",ROUND(D59-H59,-1))</f>
        <v/>
      </c>
      <c r="O59" s="18">
        <f>IF(OR(E59="",G59="",E59="NA",G59="NA"),"",ROUND(E59-G59,-1))</f>
        <v/>
      </c>
      <c r="P59" s="18">
        <f>IF(OR(F59="",H59="",F59="NA",H59="NA"),"",ROUND(F59-H59,-1))</f>
        <v/>
      </c>
      <c r="Q59" s="18">
        <f>IF(OR(E59="",I59="",E59="NA",I59="NA"),"",ROUND(IF(E59&gt;I59,E59-I59,0),-1))</f>
        <v/>
      </c>
      <c r="R59" s="18">
        <f>IF(OR(F59="",J59="",F59="NA",J59="NA"),"",ROUND(IF(F59&gt;J59,F59-J59,0),-1))</f>
        <v/>
      </c>
      <c r="S59" s="18" t="n"/>
      <c r="T59" s="18">
        <f>IF(S59="Yes","Report","No Action")</f>
        <v/>
      </c>
      <c r="U59" s="19" t="n"/>
      <c r="V59" s="19" t="inlineStr">
        <is>
          <t>Y</t>
        </is>
      </c>
    </row>
    <row r="60" ht="17.25" customHeight="1" s="3">
      <c r="A60" s="38" t="n"/>
      <c r="B60" s="14" t="n"/>
      <c r="C60" s="15" t="n"/>
      <c r="D60" s="15" t="n"/>
      <c r="E60" s="15" t="n"/>
      <c r="F60" s="39" t="n"/>
      <c r="G60" s="39" t="n"/>
      <c r="H60" s="39" t="n"/>
      <c r="I60" s="18" t="n"/>
      <c r="J60" s="18" t="n"/>
      <c r="K60" s="18">
        <f>IF(OR(C60="",E60="",C60="NA",E60="NA"),"",ROUND(C60-E60,-1))</f>
        <v/>
      </c>
      <c r="L60" s="18">
        <f>IF(OR(D60="",F60="",D60="NA",F60="NA"),"",ROUND(D60-F60,-1))</f>
        <v/>
      </c>
      <c r="M60" s="18">
        <f>IF(OR(C60="",G60="",C60="NA",G60="NA"),"",ROUND(C60-G60,-1))</f>
        <v/>
      </c>
      <c r="N60" s="18">
        <f>IF(OR(D60="",H60="",D60="NA",H60="NA"),"",ROUND(D60-H60,-1))</f>
        <v/>
      </c>
      <c r="O60" s="18">
        <f>IF(OR(E60="",G60="",E60="NA",G60="NA"),"",ROUND(E60-G60,-1))</f>
        <v/>
      </c>
      <c r="P60" s="18">
        <f>IF(OR(F60="",H60="",F60="NA",H60="NA"),"",ROUND(F60-H60,-1))</f>
        <v/>
      </c>
      <c r="Q60" s="18">
        <f>IF(OR(E60="",I60="",E60="NA",I60="NA"),"",ROUND(IF(E60&gt;I60,E60-I60,0),-1))</f>
        <v/>
      </c>
      <c r="R60" s="18">
        <f>IF(OR(F60="",J60="",F60="NA",J60="NA"),"",ROUND(IF(F60&gt;J60,F60-J60,0),-1))</f>
        <v/>
      </c>
      <c r="S60" s="18" t="n"/>
      <c r="T60" s="18">
        <f>IF(S60="Yes","Report","No Action")</f>
        <v/>
      </c>
      <c r="U60" s="19" t="n"/>
      <c r="V60" s="19" t="inlineStr">
        <is>
          <t>Y</t>
        </is>
      </c>
    </row>
    <row r="61" ht="17.25" customHeight="1" s="3">
      <c r="A61" s="38" t="n"/>
      <c r="B61" s="14" t="n"/>
      <c r="C61" s="15" t="n"/>
      <c r="D61" s="15" t="n"/>
      <c r="E61" s="15" t="n"/>
      <c r="F61" s="39" t="n"/>
      <c r="G61" s="39" t="n"/>
      <c r="H61" s="39" t="n"/>
      <c r="I61" s="18" t="n"/>
      <c r="J61" s="18" t="n"/>
      <c r="K61" s="18">
        <f>IF(OR(C61="",E61="",C61="NA",E61="NA"),"",ROUND(C61-E61,-1))</f>
        <v/>
      </c>
      <c r="L61" s="18">
        <f>IF(OR(D61="",F61="",D61="NA",F61="NA"),"",ROUND(D61-F61,-1))</f>
        <v/>
      </c>
      <c r="M61" s="18">
        <f>IF(OR(C61="",G61="",C61="NA",G61="NA"),"",ROUND(C61-G61,-1))</f>
        <v/>
      </c>
      <c r="N61" s="18">
        <f>IF(OR(D61="",H61="",D61="NA",H61="NA"),"",ROUND(D61-H61,-1))</f>
        <v/>
      </c>
      <c r="O61" s="18">
        <f>IF(OR(E61="",G61="",E61="NA",G61="NA"),"",ROUND(E61-G61,-1))</f>
        <v/>
      </c>
      <c r="P61" s="18">
        <f>IF(OR(F61="",H61="",F61="NA",H61="NA"),"",ROUND(F61-H61,-1))</f>
        <v/>
      </c>
      <c r="Q61" s="18">
        <f>IF(OR(E61="",I61="",E61="NA",I61="NA"),"",ROUND(IF(E61&gt;I61,E61-I61,0),-1))</f>
        <v/>
      </c>
      <c r="R61" s="18">
        <f>IF(OR(F61="",J61="",F61="NA",J61="NA"),"",ROUND(IF(F61&gt;J61,F61-J61,0),-1))</f>
        <v/>
      </c>
      <c r="S61" s="18" t="n"/>
      <c r="T61" s="18">
        <f>IF(S61="Yes","Report","No Action")</f>
        <v/>
      </c>
      <c r="U61" s="19" t="n"/>
      <c r="V61" s="19" t="inlineStr">
        <is>
          <t>Y</t>
        </is>
      </c>
    </row>
    <row r="62" ht="17.25" customHeight="1" s="3">
      <c r="A62" s="38" t="n"/>
      <c r="B62" s="14" t="n"/>
      <c r="C62" s="15" t="n"/>
      <c r="D62" s="15" t="n"/>
      <c r="E62" s="15" t="n"/>
      <c r="F62" s="39" t="n"/>
      <c r="G62" s="39" t="n"/>
      <c r="H62" s="39" t="n"/>
      <c r="I62" s="18" t="n"/>
      <c r="J62" s="18" t="n"/>
      <c r="K62" s="18">
        <f>IF(OR(C62="",E62="",C62="NA",E62="NA"),"",ROUND(C62-E62,-1))</f>
        <v/>
      </c>
      <c r="L62" s="18">
        <f>IF(OR(D62="",F62="",D62="NA",F62="NA"),"",ROUND(D62-F62,-1))</f>
        <v/>
      </c>
      <c r="M62" s="18">
        <f>IF(OR(C62="",G62="",C62="NA",G62="NA"),"",ROUND(C62-G62,-1))</f>
        <v/>
      </c>
      <c r="N62" s="18">
        <f>IF(OR(D62="",H62="",D62="NA",H62="NA"),"",ROUND(D62-H62,-1))</f>
        <v/>
      </c>
      <c r="O62" s="18">
        <f>IF(OR(E62="",G62="",E62="NA",G62="NA"),"",ROUND(E62-G62,-1))</f>
        <v/>
      </c>
      <c r="P62" s="18">
        <f>IF(OR(F62="",H62="",F62="NA",H62="NA"),"",ROUND(F62-H62,-1))</f>
        <v/>
      </c>
      <c r="Q62" s="18">
        <f>IF(OR(E62="",I62="",E62="NA",I62="NA"),"",ROUND(IF(E62&gt;I62,E62-I62,0),-1))</f>
        <v/>
      </c>
      <c r="R62" s="18">
        <f>IF(OR(F62="",J62="",F62="NA",J62="NA"),"",ROUND(IF(F62&gt;J62,F62-J62,0),-1))</f>
        <v/>
      </c>
      <c r="S62" s="18" t="n"/>
      <c r="T62" s="18">
        <f>IF(S62="Yes","Report","No Action")</f>
        <v/>
      </c>
      <c r="U62" s="19" t="n"/>
      <c r="V62" s="19" t="inlineStr">
        <is>
          <t>Y</t>
        </is>
      </c>
    </row>
    <row r="63" ht="17.25" customHeight="1" s="3">
      <c r="A63" s="38" t="n"/>
      <c r="B63" s="14" t="n"/>
      <c r="C63" s="15" t="n"/>
      <c r="D63" s="15" t="n"/>
      <c r="E63" s="15" t="n"/>
      <c r="F63" s="15" t="n"/>
      <c r="G63" s="39" t="n"/>
      <c r="H63" s="39" t="n"/>
      <c r="I63" s="18" t="n"/>
      <c r="J63" s="18" t="n"/>
      <c r="K63" s="18">
        <f>IF(OR(C63="",E63="",C63="NA",E63="NA"),"",ROUND(C63-E63,-1))</f>
        <v/>
      </c>
      <c r="L63" s="18">
        <f>IF(OR(D63="",F63="",D63="NA",F63="NA"),"",ROUND(D63-F63,-1))</f>
        <v/>
      </c>
      <c r="M63" s="18">
        <f>IF(OR(C63="",G63="",C63="NA",G63="NA"),"",ROUND(C63-G63,-1))</f>
        <v/>
      </c>
      <c r="N63" s="18">
        <f>IF(OR(D63="",H63="",D63="NA",H63="NA"),"",ROUND(D63-H63,-1))</f>
        <v/>
      </c>
      <c r="O63" s="18">
        <f>IF(OR(E63="",G63="",E63="NA",G63="NA"),"",ROUND(E63-G63,-1))</f>
        <v/>
      </c>
      <c r="P63" s="18">
        <f>IF(OR(F63="",H63="",F63="NA",H63="NA"),"",ROUND(F63-H63,-1))</f>
        <v/>
      </c>
      <c r="Q63" s="18">
        <f>IF(OR(E63="",I63="",E63="NA",I63="NA"),"",ROUND(IF(E63&gt;I63,E63-I63,0),-1))</f>
        <v/>
      </c>
      <c r="R63" s="18">
        <f>IF(OR(F63="",J63="",F63="NA",J63="NA"),"",ROUND(IF(F63&gt;J63,F63-J63,0),-1))</f>
        <v/>
      </c>
      <c r="S63" s="18" t="n"/>
      <c r="T63" s="18">
        <f>IF(S63="Yes","Report","No Action")</f>
        <v/>
      </c>
      <c r="U63" s="19" t="n"/>
      <c r="V63" s="19" t="inlineStr">
        <is>
          <t>Y</t>
        </is>
      </c>
    </row>
    <row r="64" ht="17.25" customHeight="1" s="3">
      <c r="A64" s="38" t="n"/>
      <c r="B64" s="14" t="n"/>
      <c r="C64" s="39" t="n"/>
      <c r="D64" s="39" t="n"/>
      <c r="E64" s="15" t="n"/>
      <c r="F64" s="15" t="n"/>
      <c r="G64" s="39" t="n"/>
      <c r="H64" s="39" t="n"/>
      <c r="I64" s="18" t="n"/>
      <c r="J64" s="18" t="n"/>
      <c r="K64" s="18">
        <f>IF(OR(C64="",E64="",C64="NA",E64="NA"),"",ROUND(C64-E64,-1))</f>
        <v/>
      </c>
      <c r="L64" s="18">
        <f>IF(OR(D64="",F64="",D64="NA",F64="NA"),"",ROUND(D64-F64,-1))</f>
        <v/>
      </c>
      <c r="M64" s="18">
        <f>IF(OR(C64="",G64="",C64="NA",G64="NA"),"",ROUND(C64-G64,-1))</f>
        <v/>
      </c>
      <c r="N64" s="18">
        <f>IF(OR(D64="",H64="",D64="NA",H64="NA"),"",ROUND(D64-H64,-1))</f>
        <v/>
      </c>
      <c r="O64" s="18">
        <f>IF(OR(E64="",G64="",E64="NA",G64="NA"),"",ROUND(E64-G64,-1))</f>
        <v/>
      </c>
      <c r="P64" s="18">
        <f>IF(OR(F64="",H64="",F64="NA",H64="NA"),"",ROUND(F64-H64,-1))</f>
        <v/>
      </c>
      <c r="Q64" s="18">
        <f>IF(OR(E64="",I64="",E64="NA",I64="NA"),"",ROUND(IF(E64&gt;I64,E64-I64,0),-1))</f>
        <v/>
      </c>
      <c r="R64" s="18">
        <f>IF(OR(F64="",J64="",F64="NA",J64="NA"),"",ROUND(IF(F64&gt;J64,F64-J64,0),-1))</f>
        <v/>
      </c>
      <c r="S64" s="18" t="n"/>
      <c r="T64" s="18">
        <f>IF(S64="Yes","Report","No Action")</f>
        <v/>
      </c>
      <c r="U64" s="19" t="n"/>
      <c r="V64" s="19" t="inlineStr">
        <is>
          <t>Y</t>
        </is>
      </c>
    </row>
    <row r="65" ht="17.25" customHeight="1" s="3">
      <c r="A65" s="38" t="n"/>
      <c r="B65" s="14" t="n"/>
      <c r="C65" s="39" t="n"/>
      <c r="D65" s="39" t="n"/>
      <c r="E65" s="15" t="n"/>
      <c r="F65" s="15" t="n"/>
      <c r="G65" s="39" t="n"/>
      <c r="H65" s="39" t="n"/>
      <c r="I65" s="18" t="n"/>
      <c r="J65" s="18" t="n"/>
      <c r="K65" s="18">
        <f>IF(OR(C65="",E65="",C65="NA",E65="NA"),"",ROUND(C65-E65,-1))</f>
        <v/>
      </c>
      <c r="L65" s="18">
        <f>IF(OR(D65="",F65="",D65="NA",F65="NA"),"",ROUND(D65-F65,-1))</f>
        <v/>
      </c>
      <c r="M65" s="18">
        <f>IF(OR(C65="",G65="",C65="NA",G65="NA"),"",ROUND(C65-G65,-1))</f>
        <v/>
      </c>
      <c r="N65" s="18">
        <f>IF(OR(D65="",H65="",D65="NA",H65="NA"),"",ROUND(D65-H65,-1))</f>
        <v/>
      </c>
      <c r="O65" s="18">
        <f>IF(OR(E65="",G65="",E65="NA",G65="NA"),"",ROUND(E65-G65,-1))</f>
        <v/>
      </c>
      <c r="P65" s="18">
        <f>IF(OR(F65="",H65="",F65="NA",H65="NA"),"",ROUND(F65-H65,-1))</f>
        <v/>
      </c>
      <c r="Q65" s="18">
        <f>IF(OR(E65="",I65="",E65="NA",I65="NA"),"",ROUND(IF(E65&gt;I65,E65-I65,0),-1))</f>
        <v/>
      </c>
      <c r="R65" s="18">
        <f>IF(OR(F65="",J65="",F65="NA",J65="NA"),"",ROUND(IF(F65&gt;J65,F65-J65,0),-1))</f>
        <v/>
      </c>
      <c r="S65" s="18" t="n"/>
      <c r="T65" s="18">
        <f>IF(S65="Yes","Report","No Action")</f>
        <v/>
      </c>
      <c r="U65" s="19" t="n"/>
      <c r="V65" s="19" t="inlineStr">
        <is>
          <t>Y</t>
        </is>
      </c>
    </row>
    <row r="66" ht="17.25" customHeight="1" s="3">
      <c r="A66" s="38" t="n"/>
      <c r="B66" s="20" t="n"/>
      <c r="C66" s="21" t="n"/>
      <c r="D66" s="21" t="n"/>
      <c r="E66" s="39" t="n"/>
      <c r="F66" s="39" t="n"/>
      <c r="G66" s="21" t="n"/>
      <c r="H66" s="39" t="n"/>
      <c r="I66" s="22" t="n"/>
      <c r="J66" s="22" t="n"/>
      <c r="K66" s="18">
        <f>IF(OR(C66="",E66="",C66="NA",E66="NA"),"",ROUND(C66-E66,-1))</f>
        <v/>
      </c>
      <c r="L66" s="18">
        <f>IF(OR(D66="",F66="",D66="NA",F66="NA"),"",ROUND(D66-F66,-1))</f>
        <v/>
      </c>
      <c r="M66" s="18">
        <f>IF(OR(C66="",G66="",C66="NA",G66="NA"),"",ROUND(C66-G66,-1))</f>
        <v/>
      </c>
      <c r="N66" s="18">
        <f>IF(OR(D66="",H66="",D66="NA",H66="NA"),"",ROUND(D66-H66,-1))</f>
        <v/>
      </c>
      <c r="O66" s="18">
        <f>IF(OR(E66="",G66="",E66="NA",G66="NA"),"",ROUND(E66-G66,-1))</f>
        <v/>
      </c>
      <c r="P66" s="18">
        <f>IF(OR(F66="",H66="",F66="NA",H66="NA"),"",ROUND(F66-H66,-1))</f>
        <v/>
      </c>
      <c r="Q66" s="18">
        <f>IF(OR(E66="",I66="",E66="NA",I66="NA"),"",ROUND(IF(E66&gt;I66,E66-I66,0),-1))</f>
        <v/>
      </c>
      <c r="R66" s="18">
        <f>IF(OR(F66="",J66="",F66="NA",J66="NA"),"",ROUND(IF(F66&gt;J66,F66-J66,0),-1))</f>
        <v/>
      </c>
      <c r="S66" s="18" t="n"/>
      <c r="T66" s="18" t="inlineStr">
        <is>
          <t>No Action</t>
        </is>
      </c>
      <c r="U66" s="23" t="n"/>
      <c r="V66" s="23" t="inlineStr">
        <is>
          <t>Y</t>
        </is>
      </c>
    </row>
    <row r="67" ht="17.25" customHeight="1" s="3">
      <c r="A67" s="38" t="n"/>
      <c r="B67" s="20" t="n"/>
      <c r="C67" s="21" t="n"/>
      <c r="D67" s="21" t="n"/>
      <c r="E67" s="39" t="n"/>
      <c r="F67" s="39" t="n"/>
      <c r="G67" s="21" t="n"/>
      <c r="H67" s="39" t="n"/>
      <c r="I67" s="22" t="n"/>
      <c r="J67" s="22" t="n"/>
      <c r="K67" s="18">
        <f>IF(OR(C67="",E67="",C67="NA",E67="NA"),"",ROUND(C67-E67,-1))</f>
        <v/>
      </c>
      <c r="L67" s="18">
        <f>IF(OR(D67="",F67="",D67="NA",F67="NA"),"",ROUND(D67-F67,-1))</f>
        <v/>
      </c>
      <c r="M67" s="18">
        <f>IF(OR(C67="",G67="",C67="NA",G67="NA"),"",ROUND(C67-G67,-1))</f>
        <v/>
      </c>
      <c r="N67" s="18">
        <f>IF(OR(D67="",H67="",D67="NA",H67="NA"),"",ROUND(D67-H67,-1))</f>
        <v/>
      </c>
      <c r="O67" s="18">
        <f>IF(OR(E67="",G67="",E67="NA",G67="NA"),"",ROUND(E67-G67,-1))</f>
        <v/>
      </c>
      <c r="P67" s="18">
        <f>IF(OR(F67="",H67="",F67="NA",H67="NA"),"",ROUND(F67-H67,-1))</f>
        <v/>
      </c>
      <c r="Q67" s="18">
        <f>IF(OR(E67="",I67="",E67="NA",I67="NA"),"",ROUND(IF(E67&gt;I67,E67-I67,0),-1))</f>
        <v/>
      </c>
      <c r="R67" s="18">
        <f>IF(OR(F67="",J67="",F67="NA",J67="NA"),"",ROUND(IF(F67&gt;J67,F67-J67,0),-1))</f>
        <v/>
      </c>
      <c r="S67" s="18" t="n"/>
      <c r="T67" s="18" t="inlineStr">
        <is>
          <t>No Action</t>
        </is>
      </c>
      <c r="U67" s="23" t="n"/>
      <c r="V67" s="23" t="inlineStr">
        <is>
          <t>Y</t>
        </is>
      </c>
    </row>
    <row r="68" ht="17.25" customHeight="1" s="3">
      <c r="A68" s="38" t="n"/>
      <c r="B68" s="20" t="n"/>
      <c r="C68" s="21" t="n"/>
      <c r="D68" s="21" t="n"/>
      <c r="E68" s="39" t="n"/>
      <c r="F68" s="39" t="n"/>
      <c r="G68" s="21" t="n"/>
      <c r="H68" s="39" t="n"/>
      <c r="I68" s="22" t="n"/>
      <c r="J68" s="22" t="n"/>
      <c r="K68" s="18">
        <f>IF(OR(C68="",E68="",C68="NA",E68="NA"),"",ROUND(C68-E68,-1))</f>
        <v/>
      </c>
      <c r="L68" s="18">
        <f>IF(OR(D68="",F68="",D68="NA",F68="NA"),"",ROUND(D68-F68,-1))</f>
        <v/>
      </c>
      <c r="M68" s="18">
        <f>IF(OR(C68="",G68="",C68="NA",G68="NA"),"",ROUND(C68-G68,-1))</f>
        <v/>
      </c>
      <c r="N68" s="18">
        <f>IF(OR(D68="",H68="",D68="NA",H68="NA"),"",ROUND(D68-H68,-1))</f>
        <v/>
      </c>
      <c r="O68" s="18">
        <f>IF(OR(E68="",G68="",E68="NA",G68="NA"),"",ROUND(E68-G68,-1))</f>
        <v/>
      </c>
      <c r="P68" s="18">
        <f>IF(OR(F68="",H68="",F68="NA",H68="NA"),"",ROUND(F68-H68,-1))</f>
        <v/>
      </c>
      <c r="Q68" s="18">
        <f>IF(OR(E68="",I68="",E68="NA",I68="NA"),"",ROUND(IF(E68&gt;I68,E68-I68,0),-1))</f>
        <v/>
      </c>
      <c r="R68" s="18">
        <f>IF(OR(F68="",J68="",F68="NA",J68="NA"),"",ROUND(IF(F68&gt;J68,F68-J68,0),-1))</f>
        <v/>
      </c>
      <c r="S68" s="18" t="n"/>
      <c r="T68" s="18" t="inlineStr">
        <is>
          <t>No Action</t>
        </is>
      </c>
      <c r="U68" s="23" t="n"/>
      <c r="V68" s="23" t="inlineStr">
        <is>
          <t>Y</t>
        </is>
      </c>
    </row>
    <row r="69" ht="17.25" customHeight="1" s="3">
      <c r="A69" s="38" t="n"/>
      <c r="B69" s="20" t="n"/>
      <c r="C69" s="21" t="n"/>
      <c r="D69" s="21" t="n"/>
      <c r="E69" s="39" t="n"/>
      <c r="F69" s="39" t="n"/>
      <c r="G69" s="21" t="n"/>
      <c r="H69" s="39" t="n"/>
      <c r="I69" s="22" t="n"/>
      <c r="J69" s="22" t="n"/>
      <c r="K69" s="18">
        <f>IF(OR(C69="",E69="",C69="NA",E69="NA"),"",ROUND(C69-E69,-1))</f>
        <v/>
      </c>
      <c r="L69" s="18">
        <f>IF(OR(D69="",F69="",D69="NA",F69="NA"),"",ROUND(D69-F69,-1))</f>
        <v/>
      </c>
      <c r="M69" s="18">
        <f>IF(OR(C69="",G69="",C69="NA",G69="NA"),"",ROUND(C69-G69,-1))</f>
        <v/>
      </c>
      <c r="N69" s="18">
        <f>IF(OR(D69="",H69="",D69="NA",H69="NA"),"",ROUND(D69-H69,-1))</f>
        <v/>
      </c>
      <c r="O69" s="18">
        <f>IF(OR(E69="",G69="",E69="NA",G69="NA"),"",ROUND(E69-G69,-1))</f>
        <v/>
      </c>
      <c r="P69" s="18">
        <f>IF(OR(F69="",H69="",F69="NA",H69="NA"),"",ROUND(F69-H69,-1))</f>
        <v/>
      </c>
      <c r="Q69" s="18">
        <f>IF(OR(E69="",I69="",E69="NA",I69="NA"),"",ROUND(IF(E69&gt;I69,E69-I69,0),-1))</f>
        <v/>
      </c>
      <c r="R69" s="18">
        <f>IF(OR(F69="",J69="",F69="NA",J69="NA"),"",ROUND(IF(F69&gt;J69,F69-J69,0),-1))</f>
        <v/>
      </c>
      <c r="S69" s="18" t="n"/>
      <c r="T69" s="18" t="inlineStr">
        <is>
          <t>No Action</t>
        </is>
      </c>
      <c r="U69" s="23" t="n"/>
      <c r="V69" s="23" t="inlineStr">
        <is>
          <t>Y</t>
        </is>
      </c>
    </row>
    <row r="70" ht="17.25" customHeight="1" s="3">
      <c r="A70" s="38" t="n"/>
      <c r="B70" s="20" t="n"/>
      <c r="C70" s="21" t="n"/>
      <c r="D70" s="21" t="n"/>
      <c r="E70" s="39" t="n"/>
      <c r="F70" s="39" t="n"/>
      <c r="G70" s="21" t="n"/>
      <c r="H70" s="39" t="n"/>
      <c r="I70" s="22" t="n"/>
      <c r="J70" s="22" t="n"/>
      <c r="K70" s="18">
        <f>IF(OR(C70="",E70="",C70="NA",E70="NA"),"",ROUND(C70-E70,-1))</f>
        <v/>
      </c>
      <c r="L70" s="18">
        <f>IF(OR(D70="",F70="",D70="NA",F70="NA"),"",ROUND(D70-F70,-1))</f>
        <v/>
      </c>
      <c r="M70" s="18">
        <f>IF(OR(C70="",G70="",C70="NA",G70="NA"),"",ROUND(C70-G70,-1))</f>
        <v/>
      </c>
      <c r="N70" s="18">
        <f>IF(OR(D70="",H70="",D70="NA",H70="NA"),"",ROUND(D70-H70,-1))</f>
        <v/>
      </c>
      <c r="O70" s="18">
        <f>IF(OR(E70="",G70="",E70="NA",G70="NA"),"",ROUND(E70-G70,-1))</f>
        <v/>
      </c>
      <c r="P70" s="18">
        <f>IF(OR(F70="",H70="",F70="NA",H70="NA"),"",ROUND(F70-H70,-1))</f>
        <v/>
      </c>
      <c r="Q70" s="18">
        <f>IF(OR(E70="",I70="",E70="NA",I70="NA"),"",ROUND(IF(E70&gt;I70,E70-I70,0),-1))</f>
        <v/>
      </c>
      <c r="R70" s="18">
        <f>IF(OR(F70="",J70="",F70="NA",J70="NA"),"",ROUND(IF(F70&gt;J70,F70-J70,0),-1))</f>
        <v/>
      </c>
      <c r="S70" s="18" t="n"/>
      <c r="T70" s="18" t="inlineStr">
        <is>
          <t>No Action</t>
        </is>
      </c>
      <c r="U70" s="23" t="n"/>
      <c r="V70" s="23" t="inlineStr">
        <is>
          <t>Y</t>
        </is>
      </c>
    </row>
    <row r="71" ht="17.25" customHeight="1" s="3">
      <c r="A71" s="38" t="n"/>
      <c r="B71" s="20" t="n"/>
      <c r="C71" s="21" t="n"/>
      <c r="D71" s="21" t="n"/>
      <c r="E71" s="39" t="n"/>
      <c r="F71" s="39" t="n"/>
      <c r="G71" s="21" t="n"/>
      <c r="H71" s="39" t="n"/>
      <c r="I71" s="22" t="n"/>
      <c r="J71" s="22" t="n"/>
      <c r="K71" s="18">
        <f>IF(OR(C71="",E71="",C71="NA",E71="NA"),"",ROUND(C71-E71,-1))</f>
        <v/>
      </c>
      <c r="L71" s="18">
        <f>IF(OR(D71="",F71="",D71="NA",F71="NA"),"",ROUND(D71-F71,-1))</f>
        <v/>
      </c>
      <c r="M71" s="18">
        <f>IF(OR(C71="",G71="",C71="NA",G71="NA"),"",ROUND(C71-G71,-1))</f>
        <v/>
      </c>
      <c r="N71" s="18">
        <f>IF(OR(D71="",H71="",D71="NA",H71="NA"),"",ROUND(D71-H71,-1))</f>
        <v/>
      </c>
      <c r="O71" s="18">
        <f>IF(OR(E71="",G71="",E71="NA",G71="NA"),"",ROUND(E71-G71,-1))</f>
        <v/>
      </c>
      <c r="P71" s="18">
        <f>IF(OR(F71="",H71="",F71="NA",H71="NA"),"",ROUND(F71-H71,-1))</f>
        <v/>
      </c>
      <c r="Q71" s="18">
        <f>IF(OR(E71="",I71="",E71="NA",I71="NA"),"",ROUND(IF(E71&gt;I71,E71-I71,0),-1))</f>
        <v/>
      </c>
      <c r="R71" s="18">
        <f>IF(OR(F71="",J71="",F71="NA",J71="NA"),"",ROUND(IF(F71&gt;J71,F71-J71,0),-1))</f>
        <v/>
      </c>
      <c r="S71" s="18" t="n"/>
      <c r="T71" s="18" t="inlineStr">
        <is>
          <t>No Action</t>
        </is>
      </c>
      <c r="U71" s="23" t="n"/>
      <c r="V71" s="23" t="inlineStr">
        <is>
          <t>Y</t>
        </is>
      </c>
    </row>
    <row r="72" ht="17.25" customHeight="1" s="3">
      <c r="A72" s="38" t="n"/>
      <c r="B72" s="20" t="n"/>
      <c r="C72" s="21" t="n"/>
      <c r="D72" s="21" t="n"/>
      <c r="E72" s="39" t="n"/>
      <c r="F72" s="39" t="n"/>
      <c r="G72" s="21" t="n"/>
      <c r="H72" s="39" t="n"/>
      <c r="I72" s="22" t="n"/>
      <c r="J72" s="22" t="n"/>
      <c r="K72" s="18">
        <f>IF(OR(C72="",E72="",C72="NA",E72="NA"),"",ROUND(C72-E72,-1))</f>
        <v/>
      </c>
      <c r="L72" s="18">
        <f>IF(OR(D72="",F72="",D72="NA",F72="NA"),"",ROUND(D72-F72,-1))</f>
        <v/>
      </c>
      <c r="M72" s="18">
        <f>IF(OR(C72="",G72="",C72="NA",G72="NA"),"",ROUND(C72-G72,-1))</f>
        <v/>
      </c>
      <c r="N72" s="18">
        <f>IF(OR(D72="",H72="",D72="NA",H72="NA"),"",ROUND(D72-H72,-1))</f>
        <v/>
      </c>
      <c r="O72" s="18">
        <f>IF(OR(E72="",G72="",E72="NA",G72="NA"),"",ROUND(E72-G72,-1))</f>
        <v/>
      </c>
      <c r="P72" s="18">
        <f>IF(OR(F72="",H72="",F72="NA",H72="NA"),"",ROUND(F72-H72,-1))</f>
        <v/>
      </c>
      <c r="Q72" s="18">
        <f>IF(OR(E72="",I72="",E72="NA",I72="NA"),"",ROUND(IF(E72&gt;I72,E72-I72,0),-1))</f>
        <v/>
      </c>
      <c r="R72" s="18">
        <f>IF(OR(F72="",J72="",F72="NA",J72="NA"),"",ROUND(IF(F72&gt;J72,F72-J72,0),-1))</f>
        <v/>
      </c>
      <c r="S72" s="18" t="n"/>
      <c r="T72" s="18" t="inlineStr">
        <is>
          <t>No Action</t>
        </is>
      </c>
      <c r="U72" s="23" t="n"/>
      <c r="V72" s="23" t="inlineStr">
        <is>
          <t>Y</t>
        </is>
      </c>
    </row>
    <row r="73" ht="17.25" customHeight="1" s="3">
      <c r="A73" s="38" t="n"/>
      <c r="B73" s="20" t="n"/>
      <c r="C73" s="21" t="n"/>
      <c r="D73" s="21" t="n"/>
      <c r="E73" s="39" t="n"/>
      <c r="F73" s="39" t="n"/>
      <c r="G73" s="21" t="n"/>
      <c r="H73" s="39" t="n"/>
      <c r="I73" s="22" t="n"/>
      <c r="J73" s="22" t="n"/>
      <c r="K73" s="18">
        <f>IF(OR(C73="",E73="",C73="NA",E73="NA"),"",ROUND(C73-E73,-1))</f>
        <v/>
      </c>
      <c r="L73" s="18">
        <f>IF(OR(D73="",F73="",D73="NA",F73="NA"),"",ROUND(D73-F73,-1))</f>
        <v/>
      </c>
      <c r="M73" s="18">
        <f>IF(OR(C73="",G73="",C73="NA",G73="NA"),"",ROUND(C73-G73,-1))</f>
        <v/>
      </c>
      <c r="N73" s="18">
        <f>IF(OR(D73="",H73="",D73="NA",H73="NA"),"",ROUND(D73-H73,-1))</f>
        <v/>
      </c>
      <c r="O73" s="18">
        <f>IF(OR(E73="",G73="",E73="NA",G73="NA"),"",ROUND(E73-G73,-1))</f>
        <v/>
      </c>
      <c r="P73" s="18">
        <f>IF(OR(F73="",H73="",F73="NA",H73="NA"),"",ROUND(F73-H73,-1))</f>
        <v/>
      </c>
      <c r="Q73" s="18">
        <f>IF(OR(E73="",I73="",E73="NA",I73="NA"),"",ROUND(IF(E73&gt;I73,E73-I73,0),-1))</f>
        <v/>
      </c>
      <c r="R73" s="18">
        <f>IF(OR(F73="",J73="",F73="NA",J73="NA"),"",ROUND(IF(F73&gt;J73,F73-J73,0),-1))</f>
        <v/>
      </c>
      <c r="S73" s="18" t="n"/>
      <c r="T73" s="18" t="inlineStr">
        <is>
          <t>No Action</t>
        </is>
      </c>
      <c r="U73" s="23" t="n"/>
      <c r="V73" s="23" t="inlineStr">
        <is>
          <t>Y</t>
        </is>
      </c>
    </row>
    <row r="74" ht="17.25" customHeight="1" s="3">
      <c r="A74" s="38" t="n"/>
      <c r="B74" s="20" t="n"/>
      <c r="C74" s="21" t="n"/>
      <c r="D74" s="21" t="n"/>
      <c r="E74" s="39" t="n"/>
      <c r="F74" s="39" t="n"/>
      <c r="G74" s="21" t="n"/>
      <c r="H74" s="39" t="n"/>
      <c r="I74" s="22" t="n"/>
      <c r="J74" s="22" t="n"/>
      <c r="K74" s="18">
        <f>IF(OR(C74="",E74="",C74="NA",E74="NA"),"",ROUND(C74-E74,-1))</f>
        <v/>
      </c>
      <c r="L74" s="18">
        <f>IF(OR(D74="",F74="",D74="NA",F74="NA"),"",ROUND(D74-F74,-1))</f>
        <v/>
      </c>
      <c r="M74" s="18">
        <f>IF(OR(C74="",G74="",C74="NA",G74="NA"),"",ROUND(C74-G74,-1))</f>
        <v/>
      </c>
      <c r="N74" s="18">
        <f>IF(OR(D74="",H74="",D74="NA",H74="NA"),"",ROUND(D74-H74,-1))</f>
        <v/>
      </c>
      <c r="O74" s="18">
        <f>IF(OR(E74="",G74="",E74="NA",G74="NA"),"",ROUND(E74-G74,-1))</f>
        <v/>
      </c>
      <c r="P74" s="18">
        <f>IF(OR(F74="",H74="",F74="NA",H74="NA"),"",ROUND(F74-H74,-1))</f>
        <v/>
      </c>
      <c r="Q74" s="18">
        <f>IF(OR(E74="",I74="",E74="NA",I74="NA"),"",ROUND(IF(E74&gt;I74,E74-I74,0),-1))</f>
        <v/>
      </c>
      <c r="R74" s="18">
        <f>IF(OR(F74="",J74="",F74="NA",J74="NA"),"",ROUND(IF(F74&gt;J74,F74-J74,0),-1))</f>
        <v/>
      </c>
      <c r="S74" s="18" t="n"/>
      <c r="T74" s="18" t="inlineStr">
        <is>
          <t>No Action</t>
        </is>
      </c>
      <c r="U74" s="23" t="n"/>
      <c r="V74" s="23" t="inlineStr">
        <is>
          <t>Y</t>
        </is>
      </c>
    </row>
    <row r="75" ht="17.25" customHeight="1" s="3">
      <c r="A75" s="38" t="n"/>
      <c r="B75" s="20" t="n"/>
      <c r="C75" s="21" t="n"/>
      <c r="D75" s="21" t="n"/>
      <c r="E75" s="39" t="n"/>
      <c r="F75" s="39" t="n"/>
      <c r="G75" s="21" t="n"/>
      <c r="H75" s="39" t="n"/>
      <c r="I75" s="22" t="n"/>
      <c r="J75" s="22" t="n"/>
      <c r="K75" s="18">
        <f>IF(OR(C75="",E75="",C75="NA",E75="NA"),"",ROUND(C75-E75,-1))</f>
        <v/>
      </c>
      <c r="L75" s="18">
        <f>IF(OR(D75="",F75="",D75="NA",F75="NA"),"",ROUND(D75-F75,-1))</f>
        <v/>
      </c>
      <c r="M75" s="18">
        <f>IF(OR(C75="",G75="",C75="NA",G75="NA"),"",ROUND(C75-G75,-1))</f>
        <v/>
      </c>
      <c r="N75" s="18">
        <f>IF(OR(D75="",H75="",D75="NA",H75="NA"),"",ROUND(D75-H75,-1))</f>
        <v/>
      </c>
      <c r="O75" s="18">
        <f>IF(OR(E75="",G75="",E75="NA",G75="NA"),"",ROUND(E75-G75,-1))</f>
        <v/>
      </c>
      <c r="P75" s="18">
        <f>IF(OR(F75="",H75="",F75="NA",H75="NA"),"",ROUND(F75-H75,-1))</f>
        <v/>
      </c>
      <c r="Q75" s="18">
        <f>IF(OR(E75="",I75="",E75="NA",I75="NA"),"",ROUND(IF(E75&gt;I75,E75-I75,0),-1))</f>
        <v/>
      </c>
      <c r="R75" s="18">
        <f>IF(OR(F75="",J75="",F75="NA",J75="NA"),"",ROUND(IF(F75&gt;J75,F75-J75,0),-1))</f>
        <v/>
      </c>
      <c r="S75" s="18" t="n"/>
      <c r="T75" s="18" t="inlineStr">
        <is>
          <t>No Action</t>
        </is>
      </c>
      <c r="U75" s="23" t="n"/>
      <c r="V75" s="23" t="inlineStr">
        <is>
          <t>Y</t>
        </is>
      </c>
    </row>
    <row r="76" ht="17.25" customHeight="1" s="3">
      <c r="A76" s="38" t="n"/>
      <c r="B76" s="20" t="n"/>
      <c r="C76" s="21" t="n"/>
      <c r="D76" s="21" t="n"/>
      <c r="E76" s="39" t="n"/>
      <c r="F76" s="39" t="n"/>
      <c r="G76" s="21" t="n"/>
      <c r="H76" s="39" t="n"/>
      <c r="I76" s="22" t="n"/>
      <c r="J76" s="22" t="n"/>
      <c r="K76" s="18">
        <f>IF(OR(C76="",E76="",C76="NA",E76="NA"),"",ROUND(C76-E76,-1))</f>
        <v/>
      </c>
      <c r="L76" s="18">
        <f>IF(OR(D76="",F76="",D76="NA",F76="NA"),"",ROUND(D76-F76,-1))</f>
        <v/>
      </c>
      <c r="M76" s="18">
        <f>IF(OR(C76="",G76="",C76="NA",G76="NA"),"",ROUND(C76-G76,-1))</f>
        <v/>
      </c>
      <c r="N76" s="18">
        <f>IF(OR(D76="",H76="",D76="NA",H76="NA"),"",ROUND(D76-H76,-1))</f>
        <v/>
      </c>
      <c r="O76" s="18">
        <f>IF(OR(E76="",G76="",E76="NA",G76="NA"),"",ROUND(E76-G76,-1))</f>
        <v/>
      </c>
      <c r="P76" s="18">
        <f>IF(OR(F76="",H76="",F76="NA",H76="NA"),"",ROUND(F76-H76,-1))</f>
        <v/>
      </c>
      <c r="Q76" s="18">
        <f>IF(OR(E76="",I76="",E76="NA",I76="NA"),"",ROUND(IF(E76&gt;I76,E76-I76,0),-1))</f>
        <v/>
      </c>
      <c r="R76" s="18">
        <f>IF(OR(F76="",J76="",F76="NA",J76="NA"),"",ROUND(IF(F76&gt;J76,F76-J76,0),-1))</f>
        <v/>
      </c>
      <c r="S76" s="18" t="n"/>
      <c r="T76" s="18" t="inlineStr">
        <is>
          <t>No Action</t>
        </is>
      </c>
      <c r="U76" s="23" t="n"/>
      <c r="V76" s="23" t="inlineStr">
        <is>
          <t>Y</t>
        </is>
      </c>
    </row>
    <row r="77" ht="17.25" customHeight="1" s="3">
      <c r="A77" s="38" t="n"/>
      <c r="B77" s="20" t="n"/>
      <c r="C77" s="21" t="n"/>
      <c r="D77" s="21" t="n"/>
      <c r="E77" s="39" t="n"/>
      <c r="F77" s="39" t="n"/>
      <c r="G77" s="21" t="n"/>
      <c r="H77" s="39" t="n"/>
      <c r="I77" s="22" t="n"/>
      <c r="J77" s="22" t="n"/>
      <c r="K77" s="18">
        <f>IF(OR(C77="",E77="",C77="NA",E77="NA"),"",ROUND(C77-E77,-1))</f>
        <v/>
      </c>
      <c r="L77" s="18">
        <f>IF(OR(D77="",F77="",D77="NA",F77="NA"),"",ROUND(D77-F77,-1))</f>
        <v/>
      </c>
      <c r="M77" s="18">
        <f>IF(OR(C77="",G77="",C77="NA",G77="NA"),"",ROUND(C77-G77,-1))</f>
        <v/>
      </c>
      <c r="N77" s="18">
        <f>IF(OR(D77="",H77="",D77="NA",H77="NA"),"",ROUND(D77-H77,-1))</f>
        <v/>
      </c>
      <c r="O77" s="18">
        <f>IF(OR(E77="",G77="",E77="NA",G77="NA"),"",ROUND(E77-G77,-1))</f>
        <v/>
      </c>
      <c r="P77" s="18">
        <f>IF(OR(F77="",H77="",F77="NA",H77="NA"),"",ROUND(F77-H77,-1))</f>
        <v/>
      </c>
      <c r="Q77" s="18">
        <f>IF(OR(E77="",I77="",E77="NA",I77="NA"),"",ROUND(IF(E77&gt;I77,E77-I77,0),-1))</f>
        <v/>
      </c>
      <c r="R77" s="18">
        <f>IF(OR(F77="",J77="",F77="NA",J77="NA"),"",ROUND(IF(F77&gt;J77,F77-J77,0),-1))</f>
        <v/>
      </c>
      <c r="S77" s="18" t="n"/>
      <c r="T77" s="18" t="inlineStr">
        <is>
          <t>No Action</t>
        </is>
      </c>
      <c r="U77" s="23" t="n"/>
      <c r="V77" s="23" t="inlineStr">
        <is>
          <t>Y</t>
        </is>
      </c>
    </row>
    <row r="78" ht="17.25" customHeight="1" s="3">
      <c r="A78" s="38" t="n"/>
      <c r="B78" s="20" t="n"/>
      <c r="C78" s="21" t="n"/>
      <c r="D78" s="21" t="n"/>
      <c r="E78" s="39" t="n"/>
      <c r="F78" s="39" t="n"/>
      <c r="G78" s="21" t="n"/>
      <c r="H78" s="39" t="n"/>
      <c r="I78" s="22" t="n"/>
      <c r="J78" s="22" t="n"/>
      <c r="K78" s="18">
        <f>IF(OR(C78="",E78="",C78="NA",E78="NA"),"",ROUND(C78-E78,-1))</f>
        <v/>
      </c>
      <c r="L78" s="18">
        <f>IF(OR(D78="",F78="",D78="NA",F78="NA"),"",ROUND(D78-F78,-1))</f>
        <v/>
      </c>
      <c r="M78" s="18">
        <f>IF(OR(C78="",G78="",C78="NA",G78="NA"),"",ROUND(C78-G78,-1))</f>
        <v/>
      </c>
      <c r="N78" s="18">
        <f>IF(OR(D78="",H78="",D78="NA",H78="NA"),"",ROUND(D78-H78,-1))</f>
        <v/>
      </c>
      <c r="O78" s="18">
        <f>IF(OR(E78="",G78="",E78="NA",G78="NA"),"",ROUND(E78-G78,-1))</f>
        <v/>
      </c>
      <c r="P78" s="18">
        <f>IF(OR(F78="",H78="",F78="NA",H78="NA"),"",ROUND(F78-H78,-1))</f>
        <v/>
      </c>
      <c r="Q78" s="18">
        <f>IF(OR(E78="",I78="",E78="NA",I78="NA"),"",ROUND(IF(E78&gt;I78,E78-I78,0),-1))</f>
        <v/>
      </c>
      <c r="R78" s="18">
        <f>IF(OR(F78="",J78="",F78="NA",J78="NA"),"",ROUND(IF(F78&gt;J78,F78-J78,0),-1))</f>
        <v/>
      </c>
      <c r="S78" s="18" t="n"/>
      <c r="T78" s="18" t="inlineStr">
        <is>
          <t>No Action</t>
        </is>
      </c>
      <c r="U78" s="23" t="n"/>
      <c r="V78" s="23" t="inlineStr">
        <is>
          <t>Y</t>
        </is>
      </c>
    </row>
    <row r="79" ht="17.25" customHeight="1" s="3">
      <c r="A79" s="38" t="n"/>
      <c r="B79" s="20" t="n"/>
      <c r="C79" s="21" t="n"/>
      <c r="D79" s="21" t="n"/>
      <c r="E79" s="39" t="n"/>
      <c r="F79" s="39" t="n"/>
      <c r="G79" s="21" t="n"/>
      <c r="H79" s="39" t="n"/>
      <c r="I79" s="22" t="n"/>
      <c r="J79" s="22" t="n"/>
      <c r="K79" s="18">
        <f>IF(OR(C79="",E79="",C79="NA",E79="NA"),"",ROUND(C79-E79,-1))</f>
        <v/>
      </c>
      <c r="L79" s="18">
        <f>IF(OR(D79="",F79="",D79="NA",F79="NA"),"",ROUND(D79-F79,-1))</f>
        <v/>
      </c>
      <c r="M79" s="18">
        <f>IF(OR(C79="",G79="",C79="NA",G79="NA"),"",ROUND(C79-G79,-1))</f>
        <v/>
      </c>
      <c r="N79" s="18">
        <f>IF(OR(D79="",H79="",D79="NA",H79="NA"),"",ROUND(D79-H79,-1))</f>
        <v/>
      </c>
      <c r="O79" s="18">
        <f>IF(OR(E79="",G79="",E79="NA",G79="NA"),"",ROUND(E79-G79,-1))</f>
        <v/>
      </c>
      <c r="P79" s="18">
        <f>IF(OR(F79="",H79="",F79="NA",H79="NA"),"",ROUND(F79-H79,-1))</f>
        <v/>
      </c>
      <c r="Q79" s="18">
        <f>IF(OR(E79="",I79="",E79="NA",I79="NA"),"",ROUND(IF(E79&gt;I79,E79-I79,0),-1))</f>
        <v/>
      </c>
      <c r="R79" s="18">
        <f>IF(OR(F79="",J79="",F79="NA",J79="NA"),"",ROUND(IF(F79&gt;J79,F79-J79,0),-1))</f>
        <v/>
      </c>
      <c r="S79" s="18" t="n"/>
      <c r="T79" s="18" t="inlineStr">
        <is>
          <t>No Action</t>
        </is>
      </c>
      <c r="U79" s="23" t="n"/>
      <c r="V79" s="23" t="inlineStr">
        <is>
          <t>Y</t>
        </is>
      </c>
    </row>
    <row r="80" ht="17.25" customHeight="1" s="3">
      <c r="A80" s="38" t="n"/>
      <c r="B80" s="20" t="n"/>
      <c r="C80" s="21" t="n"/>
      <c r="D80" s="21" t="n"/>
      <c r="E80" s="39" t="n"/>
      <c r="F80" s="39" t="n"/>
      <c r="G80" s="21" t="n"/>
      <c r="H80" s="39" t="n"/>
      <c r="I80" s="22" t="n"/>
      <c r="J80" s="22" t="n"/>
      <c r="K80" s="18">
        <f>IF(OR(C80="",E80="",C80="NA",E80="NA"),"",ROUND(C80-E80,-1))</f>
        <v/>
      </c>
      <c r="L80" s="18">
        <f>IF(OR(D80="",F80="",D80="NA",F80="NA"),"",ROUND(D80-F80,-1))</f>
        <v/>
      </c>
      <c r="M80" s="18">
        <f>IF(OR(C80="",G80="",C80="NA",G80="NA"),"",ROUND(C80-G80,-1))</f>
        <v/>
      </c>
      <c r="N80" s="18">
        <f>IF(OR(D80="",H80="",D80="NA",H80="NA"),"",ROUND(D80-H80,-1))</f>
        <v/>
      </c>
      <c r="O80" s="18">
        <f>IF(OR(E80="",G80="",E80="NA",G80="NA"),"",ROUND(E80-G80,-1))</f>
        <v/>
      </c>
      <c r="P80" s="18">
        <f>IF(OR(F80="",H80="",F80="NA",H80="NA"),"",ROUND(F80-H80,-1))</f>
        <v/>
      </c>
      <c r="Q80" s="18">
        <f>IF(OR(E80="",I80="",E80="NA",I80="NA"),"",ROUND(IF(E80&gt;I80,E80-I80,0),-1))</f>
        <v/>
      </c>
      <c r="R80" s="18">
        <f>IF(OR(F80="",J80="",F80="NA",J80="NA"),"",ROUND(IF(F80&gt;J80,F80-J80,0),-1))</f>
        <v/>
      </c>
      <c r="S80" s="18" t="n"/>
      <c r="T80" s="18" t="inlineStr">
        <is>
          <t>No Action</t>
        </is>
      </c>
      <c r="U80" s="23" t="n"/>
      <c r="V80" s="23" t="inlineStr">
        <is>
          <t>Y</t>
        </is>
      </c>
    </row>
    <row r="81" ht="17.25" customHeight="1" s="3">
      <c r="A81" s="38" t="n"/>
      <c r="B81" s="20" t="n"/>
      <c r="C81" s="21" t="n"/>
      <c r="D81" s="21" t="n"/>
      <c r="E81" s="39" t="n"/>
      <c r="F81" s="39" t="n"/>
      <c r="G81" s="21" t="n"/>
      <c r="H81" s="39" t="n"/>
      <c r="I81" s="22" t="n"/>
      <c r="J81" s="22" t="n"/>
      <c r="K81" s="18">
        <f>IF(OR(C81="",E81="",C81="NA",E81="NA"),"",ROUND(C81-E81,-1))</f>
        <v/>
      </c>
      <c r="L81" s="18">
        <f>IF(OR(D81="",F81="",D81="NA",F81="NA"),"",ROUND(D81-F81,-1))</f>
        <v/>
      </c>
      <c r="M81" s="18">
        <f>IF(OR(C81="",G81="",C81="NA",G81="NA"),"",ROUND(C81-G81,-1))</f>
        <v/>
      </c>
      <c r="N81" s="18">
        <f>IF(OR(D81="",H81="",D81="NA",H81="NA"),"",ROUND(D81-H81,-1))</f>
        <v/>
      </c>
      <c r="O81" s="18">
        <f>IF(OR(E81="",G81="",E81="NA",G81="NA"),"",ROUND(E81-G81,-1))</f>
        <v/>
      </c>
      <c r="P81" s="18">
        <f>IF(OR(F81="",H81="",F81="NA",H81="NA"),"",ROUND(F81-H81,-1))</f>
        <v/>
      </c>
      <c r="Q81" s="18">
        <f>IF(OR(E81="",I81="",E81="NA",I81="NA"),"",ROUND(IF(E81&gt;I81,E81-I81,0),-1))</f>
        <v/>
      </c>
      <c r="R81" s="18">
        <f>IF(OR(F81="",J81="",F81="NA",J81="NA"),"",ROUND(IF(F81&gt;J81,F81-J81,0),-1))</f>
        <v/>
      </c>
      <c r="S81" s="18" t="n"/>
      <c r="T81" s="18" t="inlineStr">
        <is>
          <t>No Action</t>
        </is>
      </c>
      <c r="U81" s="23" t="n"/>
      <c r="V81" s="23" t="inlineStr">
        <is>
          <t>Y</t>
        </is>
      </c>
    </row>
    <row r="82" ht="17.25" customHeight="1" s="3">
      <c r="A82" s="38" t="n"/>
      <c r="B82" s="20" t="n"/>
      <c r="C82" s="21" t="n"/>
      <c r="D82" s="21" t="n"/>
      <c r="E82" s="39" t="n"/>
      <c r="F82" s="39" t="n"/>
      <c r="G82" s="21" t="n"/>
      <c r="H82" s="39" t="n"/>
      <c r="I82" s="22" t="n"/>
      <c r="J82" s="22" t="n"/>
      <c r="K82" s="18">
        <f>IF(OR(C82="",E82="",C82="NA",E82="NA"),"",ROUND(C82-E82,-1))</f>
        <v/>
      </c>
      <c r="L82" s="18">
        <f>IF(OR(D82="",F82="",D82="NA",F82="NA"),"",ROUND(D82-F82,-1))</f>
        <v/>
      </c>
      <c r="M82" s="18">
        <f>IF(OR(C82="",G82="",C82="NA",G82="NA"),"",ROUND(C82-G82,-1))</f>
        <v/>
      </c>
      <c r="N82" s="18">
        <f>IF(OR(D82="",H82="",D82="NA",H82="NA"),"",ROUND(D82-H82,-1))</f>
        <v/>
      </c>
      <c r="O82" s="18">
        <f>IF(OR(E82="",G82="",E82="NA",G82="NA"),"",ROUND(E82-G82,-1))</f>
        <v/>
      </c>
      <c r="P82" s="18">
        <f>IF(OR(F82="",H82="",F82="NA",H82="NA"),"",ROUND(F82-H82,-1))</f>
        <v/>
      </c>
      <c r="Q82" s="18">
        <f>IF(OR(E82="",I82="",E82="NA",I82="NA"),"",ROUND(IF(E82&gt;I82,E82-I82,0),-1))</f>
        <v/>
      </c>
      <c r="R82" s="18">
        <f>IF(OR(F82="",J82="",F82="NA",J82="NA"),"",ROUND(IF(F82&gt;J82,F82-J82,0),-1))</f>
        <v/>
      </c>
      <c r="S82" s="18" t="n"/>
      <c r="T82" s="18" t="inlineStr">
        <is>
          <t>No Action</t>
        </is>
      </c>
      <c r="U82" s="23" t="n"/>
      <c r="V82" s="23" t="inlineStr">
        <is>
          <t>Y</t>
        </is>
      </c>
    </row>
    <row r="83" ht="17.25" customHeight="1" s="3">
      <c r="A83" s="38" t="n"/>
      <c r="B83" s="20" t="n"/>
      <c r="C83" s="21" t="n"/>
      <c r="D83" s="21" t="n"/>
      <c r="E83" s="39" t="n"/>
      <c r="F83" s="39" t="n"/>
      <c r="G83" s="21" t="n"/>
      <c r="H83" s="39" t="n"/>
      <c r="I83" s="22" t="n"/>
      <c r="J83" s="22" t="n"/>
      <c r="K83" s="18">
        <f>IF(OR(C83="",E83="",C83="NA",E83="NA"),"",ROUND(C83-E83,-1))</f>
        <v/>
      </c>
      <c r="L83" s="18">
        <f>IF(OR(D83="",F83="",D83="NA",F83="NA"),"",ROUND(D83-F83,-1))</f>
        <v/>
      </c>
      <c r="M83" s="18">
        <f>IF(OR(C83="",G83="",C83="NA",G83="NA"),"",ROUND(C83-G83,-1))</f>
        <v/>
      </c>
      <c r="N83" s="18">
        <f>IF(OR(D83="",H83="",D83="NA",H83="NA"),"",ROUND(D83-H83,-1))</f>
        <v/>
      </c>
      <c r="O83" s="18">
        <f>IF(OR(E83="",G83="",E83="NA",G83="NA"),"",ROUND(E83-G83,-1))</f>
        <v/>
      </c>
      <c r="P83" s="18">
        <f>IF(OR(F83="",H83="",F83="NA",H83="NA"),"",ROUND(F83-H83,-1))</f>
        <v/>
      </c>
      <c r="Q83" s="18">
        <f>IF(OR(E83="",I83="",E83="NA",I83="NA"),"",ROUND(IF(E83&gt;I83,E83-I83,0),-1))</f>
        <v/>
      </c>
      <c r="R83" s="18">
        <f>IF(OR(F83="",J83="",F83="NA",J83="NA"),"",ROUND(IF(F83&gt;J83,F83-J83,0),-1))</f>
        <v/>
      </c>
      <c r="S83" s="18" t="n"/>
      <c r="T83" s="18" t="inlineStr">
        <is>
          <t>No Action</t>
        </is>
      </c>
      <c r="U83" s="23" t="n"/>
      <c r="V83" s="23" t="inlineStr">
        <is>
          <t>Y</t>
        </is>
      </c>
    </row>
    <row r="84" ht="17.25" customHeight="1" s="3">
      <c r="A84" s="38" t="n"/>
      <c r="B84" s="20" t="n"/>
      <c r="C84" s="21" t="n"/>
      <c r="D84" s="21" t="n"/>
      <c r="E84" s="39" t="n"/>
      <c r="F84" s="39" t="n"/>
      <c r="G84" s="21" t="n"/>
      <c r="H84" s="39" t="n"/>
      <c r="I84" s="22" t="n"/>
      <c r="J84" s="22" t="n"/>
      <c r="K84" s="18">
        <f>IF(OR(C84="",E84="",C84="NA",E84="NA"),"",ROUND(C84-E84,-1))</f>
        <v/>
      </c>
      <c r="L84" s="18">
        <f>IF(OR(D84="",F84="",D84="NA",F84="NA"),"",ROUND(D84-F84,-1))</f>
        <v/>
      </c>
      <c r="M84" s="18">
        <f>IF(OR(C84="",G84="",C84="NA",G84="NA"),"",ROUND(C84-G84,-1))</f>
        <v/>
      </c>
      <c r="N84" s="18">
        <f>IF(OR(D84="",H84="",D84="NA",H84="NA"),"",ROUND(D84-H84,-1))</f>
        <v/>
      </c>
      <c r="O84" s="18">
        <f>IF(OR(E84="",G84="",E84="NA",G84="NA"),"",ROUND(E84-G84,-1))</f>
        <v/>
      </c>
      <c r="P84" s="18">
        <f>IF(OR(F84="",H84="",F84="NA",H84="NA"),"",ROUND(F84-H84,-1))</f>
        <v/>
      </c>
      <c r="Q84" s="18">
        <f>IF(OR(E84="",I84="",E84="NA",I84="NA"),"",ROUND(IF(E84&gt;I84,E84-I84,0),-1))</f>
        <v/>
      </c>
      <c r="R84" s="18">
        <f>IF(OR(F84="",J84="",F84="NA",J84="NA"),"",ROUND(IF(F84&gt;J84,F84-J84,0),-1))</f>
        <v/>
      </c>
      <c r="S84" s="18" t="n"/>
      <c r="T84" s="18" t="inlineStr">
        <is>
          <t>No Action</t>
        </is>
      </c>
      <c r="U84" s="23" t="n"/>
      <c r="V84" s="23" t="inlineStr">
        <is>
          <t>Y</t>
        </is>
      </c>
    </row>
    <row r="85" ht="17.25" customHeight="1" s="3">
      <c r="A85" s="38" t="n"/>
      <c r="B85" s="20" t="n"/>
      <c r="C85" s="21" t="n"/>
      <c r="D85" s="21" t="n"/>
      <c r="E85" s="39" t="n"/>
      <c r="F85" s="39" t="n"/>
      <c r="G85" s="21" t="n"/>
      <c r="H85" s="39" t="n"/>
      <c r="I85" s="22" t="n"/>
      <c r="J85" s="22" t="n"/>
      <c r="K85" s="18">
        <f>IF(OR(C85="",E85="",C85="NA",E85="NA"),"",ROUND(C85-E85,-1))</f>
        <v/>
      </c>
      <c r="L85" s="18">
        <f>IF(OR(D85="",F85="",D85="NA",F85="NA"),"",ROUND(D85-F85,-1))</f>
        <v/>
      </c>
      <c r="M85" s="18">
        <f>IF(OR(C85="",G85="",C85="NA",G85="NA"),"",ROUND(C85-G85,-1))</f>
        <v/>
      </c>
      <c r="N85" s="18">
        <f>IF(OR(D85="",H85="",D85="NA",H85="NA"),"",ROUND(D85-H85,-1))</f>
        <v/>
      </c>
      <c r="O85" s="18">
        <f>IF(OR(E85="",G85="",E85="NA",G85="NA"),"",ROUND(E85-G85,-1))</f>
        <v/>
      </c>
      <c r="P85" s="18">
        <f>IF(OR(F85="",H85="",F85="NA",H85="NA"),"",ROUND(F85-H85,-1))</f>
        <v/>
      </c>
      <c r="Q85" s="18">
        <f>IF(OR(E85="",I85="",E85="NA",I85="NA"),"",ROUND(IF(E85&gt;I85,E85-I85,0),-1))</f>
        <v/>
      </c>
      <c r="R85" s="18">
        <f>IF(OR(F85="",J85="",F85="NA",J85="NA"),"",ROUND(IF(F85&gt;J85,F85-J85,0),-1))</f>
        <v/>
      </c>
      <c r="S85" s="18" t="n"/>
      <c r="T85" s="18" t="inlineStr">
        <is>
          <t>No Action</t>
        </is>
      </c>
      <c r="U85" s="23" t="n"/>
      <c r="V85" s="23" t="inlineStr">
        <is>
          <t>Y</t>
        </is>
      </c>
    </row>
    <row r="86" ht="17.25" customHeight="1" s="3">
      <c r="A86" s="38" t="n"/>
      <c r="B86" s="20" t="n"/>
      <c r="C86" s="21" t="n"/>
      <c r="D86" s="21" t="n"/>
      <c r="E86" s="39" t="n"/>
      <c r="F86" s="39" t="n"/>
      <c r="G86" s="21" t="n"/>
      <c r="H86" s="39" t="n"/>
      <c r="I86" s="22" t="n"/>
      <c r="J86" s="22" t="n"/>
      <c r="K86" s="18">
        <f>IF(OR(C86="",E86="",C86="NA",E86="NA"),"",ROUND(C86-E86,-1))</f>
        <v/>
      </c>
      <c r="L86" s="18">
        <f>IF(OR(D86="",F86="",D86="NA",F86="NA"),"",ROUND(D86-F86,-1))</f>
        <v/>
      </c>
      <c r="M86" s="18">
        <f>IF(OR(C86="",G86="",C86="NA",G86="NA"),"",ROUND(C86-G86,-1))</f>
        <v/>
      </c>
      <c r="N86" s="18">
        <f>IF(OR(D86="",H86="",D86="NA",H86="NA"),"",ROUND(D86-H86,-1))</f>
        <v/>
      </c>
      <c r="O86" s="18">
        <f>IF(OR(E86="",G86="",E86="NA",G86="NA"),"",ROUND(E86-G86,-1))</f>
        <v/>
      </c>
      <c r="P86" s="18">
        <f>IF(OR(F86="",H86="",F86="NA",H86="NA"),"",ROUND(F86-H86,-1))</f>
        <v/>
      </c>
      <c r="Q86" s="18">
        <f>IF(OR(E86="",I86="",E86="NA",I86="NA"),"",ROUND(IF(E86&gt;I86,E86-I86,0),-1))</f>
        <v/>
      </c>
      <c r="R86" s="18">
        <f>IF(OR(F86="",J86="",F86="NA",J86="NA"),"",ROUND(IF(F86&gt;J86,F86-J86,0),-1))</f>
        <v/>
      </c>
      <c r="S86" s="18" t="n"/>
      <c r="T86" s="18" t="inlineStr">
        <is>
          <t>No Action</t>
        </is>
      </c>
      <c r="U86" s="23" t="n"/>
      <c r="V86" s="23" t="inlineStr">
        <is>
          <t>Y</t>
        </is>
      </c>
    </row>
    <row r="87" ht="17.25" customHeight="1" s="3">
      <c r="A87" s="38" t="n"/>
      <c r="B87" s="20" t="n"/>
      <c r="C87" s="21" t="n"/>
      <c r="D87" s="21" t="n"/>
      <c r="E87" s="39" t="n"/>
      <c r="F87" s="39" t="n"/>
      <c r="G87" s="21" t="n"/>
      <c r="H87" s="39" t="n"/>
      <c r="I87" s="22" t="n"/>
      <c r="J87" s="22" t="n"/>
      <c r="K87" s="18">
        <f>IF(OR(C87="",E87="",C87="NA",E87="NA"),"",ROUND(C87-E87,-1))</f>
        <v/>
      </c>
      <c r="L87" s="18">
        <f>IF(OR(D87="",F87="",D87="NA",F87="NA"),"",ROUND(D87-F87,-1))</f>
        <v/>
      </c>
      <c r="M87" s="18">
        <f>IF(OR(C87="",G87="",C87="NA",G87="NA"),"",ROUND(C87-G87,-1))</f>
        <v/>
      </c>
      <c r="N87" s="18">
        <f>IF(OR(D87="",H87="",D87="NA",H87="NA"),"",ROUND(D87-H87,-1))</f>
        <v/>
      </c>
      <c r="O87" s="18">
        <f>IF(OR(E87="",G87="",E87="NA",G87="NA"),"",ROUND(E87-G87,-1))</f>
        <v/>
      </c>
      <c r="P87" s="18">
        <f>IF(OR(F87="",H87="",F87="NA",H87="NA"),"",ROUND(F87-H87,-1))</f>
        <v/>
      </c>
      <c r="Q87" s="18">
        <f>IF(OR(E87="",I87="",E87="NA",I87="NA"),"",ROUND(IF(E87&gt;I87,E87-I87,0),-1))</f>
        <v/>
      </c>
      <c r="R87" s="18">
        <f>IF(OR(F87="",J87="",F87="NA",J87="NA"),"",ROUND(IF(F87&gt;J87,F87-J87,0),-1))</f>
        <v/>
      </c>
      <c r="S87" s="18" t="n"/>
      <c r="T87" s="18" t="inlineStr">
        <is>
          <t>No Action</t>
        </is>
      </c>
      <c r="U87" s="23" t="n"/>
      <c r="V87" s="23" t="inlineStr">
        <is>
          <t>Y</t>
        </is>
      </c>
    </row>
    <row r="88" ht="17.25" customHeight="1" s="3">
      <c r="A88" s="38" t="n"/>
      <c r="B88" s="20" t="n"/>
      <c r="C88" s="21" t="n"/>
      <c r="D88" s="21" t="n"/>
      <c r="E88" s="39" t="n"/>
      <c r="F88" s="39" t="n"/>
      <c r="G88" s="21" t="n"/>
      <c r="H88" s="39" t="n"/>
      <c r="I88" s="22" t="n"/>
      <c r="J88" s="22" t="n"/>
      <c r="K88" s="18">
        <f>IF(OR(C88="",E88="",C88="NA",E88="NA"),"",ROUND(C88-E88,-1))</f>
        <v/>
      </c>
      <c r="L88" s="18">
        <f>IF(OR(D88="",F88="",D88="NA",F88="NA"),"",ROUND(D88-F88,-1))</f>
        <v/>
      </c>
      <c r="M88" s="18">
        <f>IF(OR(C88="",G88="",C88="NA",G88="NA"),"",ROUND(C88-G88,-1))</f>
        <v/>
      </c>
      <c r="N88" s="18">
        <f>IF(OR(D88="",H88="",D88="NA",H88="NA"),"",ROUND(D88-H88,-1))</f>
        <v/>
      </c>
      <c r="O88" s="18">
        <f>IF(OR(E88="",G88="",E88="NA",G88="NA"),"",ROUND(E88-G88,-1))</f>
        <v/>
      </c>
      <c r="P88" s="18">
        <f>IF(OR(F88="",H88="",F88="NA",H88="NA"),"",ROUND(F88-H88,-1))</f>
        <v/>
      </c>
      <c r="Q88" s="18">
        <f>IF(OR(E88="",I88="",E88="NA",I88="NA"),"",ROUND(IF(E88&gt;I88,E88-I88,0),-1))</f>
        <v/>
      </c>
      <c r="R88" s="18">
        <f>IF(OR(F88="",J88="",F88="NA",J88="NA"),"",ROUND(IF(F88&gt;J88,F88-J88,0),-1))</f>
        <v/>
      </c>
      <c r="S88" s="18" t="n"/>
      <c r="T88" s="18" t="inlineStr">
        <is>
          <t>No Action</t>
        </is>
      </c>
      <c r="U88" s="23" t="n"/>
      <c r="V88" s="23" t="inlineStr">
        <is>
          <t>Y</t>
        </is>
      </c>
    </row>
    <row r="89" ht="17.25" customHeight="1" s="3">
      <c r="A89" s="38" t="n"/>
      <c r="B89" s="20" t="n"/>
      <c r="C89" s="21" t="n"/>
      <c r="D89" s="21" t="n"/>
      <c r="E89" s="39" t="n"/>
      <c r="F89" s="39" t="n"/>
      <c r="G89" s="21" t="n"/>
      <c r="H89" s="39" t="n"/>
      <c r="I89" s="22" t="n"/>
      <c r="J89" s="22" t="n"/>
      <c r="K89" s="18">
        <f>IF(OR(C89="",E89="",C89="NA",E89="NA"),"",ROUND(C89-E89,-1))</f>
        <v/>
      </c>
      <c r="L89" s="18">
        <f>IF(OR(D89="",F89="",D89="NA",F89="NA"),"",ROUND(D89-F89,-1))</f>
        <v/>
      </c>
      <c r="M89" s="18">
        <f>IF(OR(C89="",G89="",C89="NA",G89="NA"),"",ROUND(C89-G89,-1))</f>
        <v/>
      </c>
      <c r="N89" s="18">
        <f>IF(OR(D89="",H89="",D89="NA",H89="NA"),"",ROUND(D89-H89,-1))</f>
        <v/>
      </c>
      <c r="O89" s="18">
        <f>IF(OR(E89="",G89="",E89="NA",G89="NA"),"",ROUND(E89-G89,-1))</f>
        <v/>
      </c>
      <c r="P89" s="18">
        <f>IF(OR(F89="",H89="",F89="NA",H89="NA"),"",ROUND(F89-H89,-1))</f>
        <v/>
      </c>
      <c r="Q89" s="18">
        <f>IF(OR(E89="",I89="",E89="NA",I89="NA"),"",ROUND(IF(E89&gt;I89,E89-I89,0),-1))</f>
        <v/>
      </c>
      <c r="R89" s="18">
        <f>IF(OR(F89="",J89="",F89="NA",J89="NA"),"",ROUND(IF(F89&gt;J89,F89-J89,0),-1))</f>
        <v/>
      </c>
      <c r="S89" s="18" t="n"/>
      <c r="T89" s="18" t="inlineStr">
        <is>
          <t>No Action</t>
        </is>
      </c>
      <c r="U89" s="23" t="n"/>
      <c r="V89" s="23" t="inlineStr">
        <is>
          <t>Y</t>
        </is>
      </c>
    </row>
    <row r="90" ht="17.25" customHeight="1" s="3">
      <c r="A90" s="38" t="n"/>
      <c r="B90" s="20" t="n"/>
      <c r="C90" s="21" t="n"/>
      <c r="D90" s="21" t="n"/>
      <c r="E90" s="39" t="n"/>
      <c r="F90" s="39" t="n"/>
      <c r="G90" s="21" t="n"/>
      <c r="H90" s="39" t="n"/>
      <c r="I90" s="22" t="n"/>
      <c r="J90" s="22" t="n"/>
      <c r="K90" s="18">
        <f>IF(OR(C90="",E90="",C90="NA",E90="NA"),"",ROUND(C90-E90,-1))</f>
        <v/>
      </c>
      <c r="L90" s="18">
        <f>IF(OR(D90="",F90="",D90="NA",F90="NA"),"",ROUND(D90-F90,-1))</f>
        <v/>
      </c>
      <c r="M90" s="18">
        <f>IF(OR(C90="",G90="",C90="NA",G90="NA"),"",ROUND(C90-G90,-1))</f>
        <v/>
      </c>
      <c r="N90" s="18">
        <f>IF(OR(D90="",H90="",D90="NA",H90="NA"),"",ROUND(D90-H90,-1))</f>
        <v/>
      </c>
      <c r="O90" s="18">
        <f>IF(OR(E90="",G90="",E90="NA",G90="NA"),"",ROUND(E90-G90,-1))</f>
        <v/>
      </c>
      <c r="P90" s="18">
        <f>IF(OR(F90="",H90="",F90="NA",H90="NA"),"",ROUND(F90-H90,-1))</f>
        <v/>
      </c>
      <c r="Q90" s="18">
        <f>IF(OR(E90="",I90="",E90="NA",I90="NA"),"",ROUND(IF(E90&gt;I90,E90-I90,0),-1))</f>
        <v/>
      </c>
      <c r="R90" s="18">
        <f>IF(OR(F90="",J90="",F90="NA",J90="NA"),"",ROUND(IF(F90&gt;J90,F90-J90,0),-1))</f>
        <v/>
      </c>
      <c r="S90" s="18" t="n"/>
      <c r="T90" s="18" t="inlineStr">
        <is>
          <t>No Action</t>
        </is>
      </c>
      <c r="U90" s="23" t="n"/>
      <c r="V90" s="23" t="inlineStr">
        <is>
          <t>Y</t>
        </is>
      </c>
    </row>
    <row r="91" ht="17.25" customHeight="1" s="3">
      <c r="A91" s="38" t="n"/>
      <c r="B91" s="20" t="n"/>
      <c r="C91" s="21" t="n"/>
      <c r="D91" s="21" t="n"/>
      <c r="E91" s="39" t="n"/>
      <c r="F91" s="39" t="n"/>
      <c r="G91" s="21" t="n"/>
      <c r="H91" s="39" t="n"/>
      <c r="I91" s="22" t="n"/>
      <c r="J91" s="22" t="n"/>
      <c r="K91" s="18">
        <f>IF(OR(C91="",E91="",C91="NA",E91="NA"),"",ROUND(C91-E91,-1))</f>
        <v/>
      </c>
      <c r="L91" s="18">
        <f>IF(OR(D91="",F91="",D91="NA",F91="NA"),"",ROUND(D91-F91,-1))</f>
        <v/>
      </c>
      <c r="M91" s="18">
        <f>IF(OR(C91="",G91="",C91="NA",G91="NA"),"",ROUND(C91-G91,-1))</f>
        <v/>
      </c>
      <c r="N91" s="18">
        <f>IF(OR(D91="",H91="",D91="NA",H91="NA"),"",ROUND(D91-H91,-1))</f>
        <v/>
      </c>
      <c r="O91" s="18">
        <f>IF(OR(E91="",G91="",E91="NA",G91="NA"),"",ROUND(E91-G91,-1))</f>
        <v/>
      </c>
      <c r="P91" s="18">
        <f>IF(OR(F91="",H91="",F91="NA",H91="NA"),"",ROUND(F91-H91,-1))</f>
        <v/>
      </c>
      <c r="Q91" s="18">
        <f>IF(OR(E91="",I91="",E91="NA",I91="NA"),"",ROUND(IF(E91&gt;I91,E91-I91,0),-1))</f>
        <v/>
      </c>
      <c r="R91" s="18">
        <f>IF(OR(F91="",J91="",F91="NA",J91="NA"),"",ROUND(IF(F91&gt;J91,F91-J91,0),-1))</f>
        <v/>
      </c>
      <c r="S91" s="18" t="n"/>
      <c r="T91" s="18" t="inlineStr">
        <is>
          <t>No Action</t>
        </is>
      </c>
      <c r="U91" s="23" t="n"/>
      <c r="V91" s="23" t="inlineStr">
        <is>
          <t>Y</t>
        </is>
      </c>
    </row>
    <row r="92" ht="17.25" customHeight="1" s="3">
      <c r="A92" s="38" t="n"/>
      <c r="B92" s="20" t="n"/>
      <c r="C92" s="21" t="n"/>
      <c r="D92" s="21" t="n"/>
      <c r="E92" s="39" t="n"/>
      <c r="F92" s="39" t="n"/>
      <c r="G92" s="21" t="n"/>
      <c r="H92" s="39" t="n"/>
      <c r="I92" s="22" t="n"/>
      <c r="J92" s="22" t="n"/>
      <c r="K92" s="18">
        <f>IF(OR(C92="",E92="",C92="NA",E92="NA"),"",ROUND(C92-E92,-1))</f>
        <v/>
      </c>
      <c r="L92" s="18">
        <f>IF(OR(D92="",F92="",D92="NA",F92="NA"),"",ROUND(D92-F92,-1))</f>
        <v/>
      </c>
      <c r="M92" s="18">
        <f>IF(OR(C92="",G92="",C92="NA",G92="NA"),"",ROUND(C92-G92,-1))</f>
        <v/>
      </c>
      <c r="N92" s="18">
        <f>IF(OR(D92="",H92="",D92="NA",H92="NA"),"",ROUND(D92-H92,-1))</f>
        <v/>
      </c>
      <c r="O92" s="18">
        <f>IF(OR(E92="",G92="",E92="NA",G92="NA"),"",ROUND(E92-G92,-1))</f>
        <v/>
      </c>
      <c r="P92" s="18">
        <f>IF(OR(F92="",H92="",F92="NA",H92="NA"),"",ROUND(F92-H92,-1))</f>
        <v/>
      </c>
      <c r="Q92" s="18">
        <f>IF(OR(E92="",I92="",E92="NA",I92="NA"),"",ROUND(IF(E92&gt;I92,E92-I92,0),-1))</f>
        <v/>
      </c>
      <c r="R92" s="18">
        <f>IF(OR(F92="",J92="",F92="NA",J92="NA"),"",ROUND(IF(F92&gt;J92,F92-J92,0),-1))</f>
        <v/>
      </c>
      <c r="S92" s="18" t="n"/>
      <c r="T92" s="18" t="inlineStr">
        <is>
          <t>No Action</t>
        </is>
      </c>
      <c r="U92" s="23" t="n"/>
      <c r="V92" s="23" t="inlineStr">
        <is>
          <t>Y</t>
        </is>
      </c>
    </row>
    <row r="93" ht="17.25" customHeight="1" s="3">
      <c r="A93" s="24" t="n"/>
      <c r="B93" s="25" t="n"/>
      <c r="C93" s="26" t="n"/>
      <c r="D93" s="26" t="n"/>
      <c r="E93" s="26" t="n"/>
      <c r="F93" s="39" t="n"/>
      <c r="G93" s="26" t="n"/>
      <c r="H93" s="39" t="n"/>
      <c r="I93" s="22" t="n"/>
      <c r="J93" s="22" t="n"/>
      <c r="K93" s="18">
        <f>IF(OR(C93="",E93="",C93="NA",E93="NA"),"",ROUND(C93-E93,-1))</f>
        <v/>
      </c>
      <c r="L93" s="18">
        <f>IF(OR(D93="",F93="",D93="NA",F93="NA"),"",ROUND(D93-F93,-1))</f>
        <v/>
      </c>
      <c r="M93" s="18">
        <f>IF(OR(C93="",G93="",C93="NA",G93="NA"),"",ROUND(C93-G93,-1))</f>
        <v/>
      </c>
      <c r="N93" s="18">
        <f>IF(OR(D93="",H93="",D93="NA",H93="NA"),"",ROUND(D93-H93,-1))</f>
        <v/>
      </c>
      <c r="O93" s="18">
        <f>IF(OR(E93="",G93="",E93="NA",G93="NA"),"",ROUND(E93-G93,-1))</f>
        <v/>
      </c>
      <c r="P93" s="18">
        <f>IF(OR(F93="",H93="",F93="NA",H93="NA"),"",ROUND(F93-H93,-1))</f>
        <v/>
      </c>
      <c r="Q93" s="18">
        <f>IF(OR(E93="",I93="",E93="NA",I93="NA"),"",ROUND(IF(E93&gt;I93,E93-I93,0),-1))</f>
        <v/>
      </c>
      <c r="R93" s="18">
        <f>IF(OR(F93="",J93="",F93="NA",J93="NA"),"",ROUND(IF(F93&gt;J93,F93-J93,0),-1))</f>
        <v/>
      </c>
      <c r="S93" s="28" t="n"/>
      <c r="T93" s="28" t="inlineStr">
        <is>
          <t>No Action</t>
        </is>
      </c>
      <c r="U93" s="29" t="n"/>
      <c r="V93" s="29" t="inlineStr">
        <is>
          <t>Y</t>
        </is>
      </c>
    </row>
    <row r="94" ht="18" customFormat="1" customHeight="1" s="30">
      <c r="B94" s="31" t="n"/>
      <c r="C94" s="32" t="n"/>
      <c r="D94" s="32" t="n"/>
      <c r="E94" s="32" t="n"/>
      <c r="F94" s="39" t="n"/>
      <c r="G94" s="32" t="n"/>
      <c r="H94" s="39" t="n"/>
      <c r="I94" s="22" t="n"/>
      <c r="J94" s="22" t="n"/>
      <c r="K94" s="18">
        <f>IF(OR(C94="",E94="",C94="NA",E94="NA"),"",ROUND(C94-E94,-1))</f>
        <v/>
      </c>
      <c r="L94" s="18">
        <f>IF(OR(D94="",F94="",D94="NA",F94="NA"),"",ROUND(D94-F94,-1))</f>
        <v/>
      </c>
      <c r="M94" s="18">
        <f>IF(OR(C94="",G94="",C94="NA",G94="NA"),"",ROUND(C94-G94,-1))</f>
        <v/>
      </c>
      <c r="N94" s="18">
        <f>IF(OR(D94="",H94="",D94="NA",H94="NA"),"",ROUND(D94-H94,-1))</f>
        <v/>
      </c>
      <c r="O94" s="18">
        <f>IF(OR(E94="",G94="",E94="NA",G94="NA"),"",ROUND(E94-G94,-1))</f>
        <v/>
      </c>
      <c r="P94" s="18">
        <f>IF(OR(F94="",H94="",F94="NA",H94="NA"),"",ROUND(F94-H94,-1))</f>
        <v/>
      </c>
      <c r="Q94" s="18">
        <f>IF(OR(E94="",I94="",E94="NA",I94="NA"),"",ROUND(IF(E94&gt;I94,E94-I94,0),-1))</f>
        <v/>
      </c>
      <c r="R94" s="18">
        <f>IF(OR(F94="",J94="",F94="NA",J94="NA"),"",ROUND(IF(F94&gt;J94,F94-J94,0),-1))</f>
        <v/>
      </c>
      <c r="S94" s="34" t="n"/>
      <c r="T94" s="34" t="inlineStr">
        <is>
          <t>No Action</t>
        </is>
      </c>
      <c r="U94" s="35" t="n"/>
      <c r="V94" s="35" t="inlineStr">
        <is>
          <t>Y</t>
        </is>
      </c>
    </row>
    <row r="95" ht="16.5" customFormat="1" customHeight="1" s="30">
      <c r="B95" s="36" t="n"/>
      <c r="C95" s="34" t="n"/>
      <c r="E95" s="32" t="n"/>
      <c r="F95" s="34" t="n"/>
      <c r="G95" s="32" t="n"/>
      <c r="H95" s="39" t="n"/>
      <c r="I95" s="32" t="n"/>
      <c r="J95" s="34" t="n"/>
      <c r="K95" s="18">
        <f>IF(OR(C95="",E95="",C95="NA",E95="NA"),"",ROUND(C95-E95,-1))</f>
        <v/>
      </c>
      <c r="L95" s="18">
        <f>IF(OR(D95="",F95="",D95="NA",F95="NA"),"",ROUND(D95-F95,-1))</f>
        <v/>
      </c>
      <c r="M95" s="18">
        <f>IF(OR(C95="",G95="",C95="NA",G95="NA"),"",ROUND(C95-G95,-1))</f>
        <v/>
      </c>
      <c r="N95" s="18">
        <f>IF(OR(D95="",H95="",D95="NA",H95="NA"),"",ROUND(D95-H95,-1))</f>
        <v/>
      </c>
      <c r="O95" s="18">
        <f>IF(OR(E95="",G95="",E95="NA",G95="NA"),"",ROUND(E95-G95,-1))</f>
        <v/>
      </c>
      <c r="P95" s="18">
        <f>IF(OR(F95="",H95="",F95="NA",H95="NA"),"",ROUND(F95-H95,-1))</f>
        <v/>
      </c>
      <c r="Q95" s="18">
        <f>IF(OR(E95="",I95="",E95="NA",I95="NA"),"",ROUND(IF(E95&gt;I95,E95-I95,0),-1))</f>
        <v/>
      </c>
      <c r="R95" s="18">
        <f>IF(OR(F95="",J95="",F95="NA",J95="NA"),"",ROUND(IF(F95&gt;J95,F95-J95,0),-1))</f>
        <v/>
      </c>
      <c r="S95" s="34" t="n"/>
      <c r="T95" s="34" t="inlineStr">
        <is>
          <t>No Action</t>
        </is>
      </c>
      <c r="U95" s="35" t="n"/>
      <c r="V95" s="35" t="inlineStr">
        <is>
          <t>Y</t>
        </is>
      </c>
    </row>
    <row r="96" ht="18" customFormat="1" customHeight="1" s="30">
      <c r="B96" s="31" t="n"/>
      <c r="C96" s="34" t="n"/>
      <c r="D96" s="34" t="n"/>
      <c r="E96" s="34" t="n"/>
      <c r="F96" s="34" t="n"/>
      <c r="G96" s="32" t="n"/>
      <c r="H96" s="39" t="n"/>
      <c r="I96" s="34" t="n"/>
      <c r="J96" s="34" t="n"/>
      <c r="K96" s="18">
        <f>IF(OR(C96="",E96="",C96="NA",E96="NA"),"",ROUND(C96-E96,-1))</f>
        <v/>
      </c>
      <c r="L96" s="18">
        <f>IF(OR(D96="",F96="",D96="NA",F96="NA"),"",ROUND(D96-F96,-1))</f>
        <v/>
      </c>
      <c r="M96" s="18">
        <f>IF(OR(C96="",G96="",C96="NA",G96="NA"),"",ROUND(C96-G96,-1))</f>
        <v/>
      </c>
      <c r="N96" s="18">
        <f>IF(OR(D96="",H96="",D96="NA",H96="NA"),"",ROUND(D96-H96,-1))</f>
        <v/>
      </c>
      <c r="O96" s="18">
        <f>IF(OR(E96="",G96="",E96="NA",G96="NA"),"",ROUND(E96-G96,-1))</f>
        <v/>
      </c>
      <c r="P96" s="18">
        <f>IF(OR(F96="",H96="",F96="NA",H96="NA"),"",ROUND(F96-H96,-1))</f>
        <v/>
      </c>
      <c r="Q96" s="18">
        <f>IF(OR(E96="",I96="",E96="NA",I96="NA"),"",ROUND(IF(E96&gt;I96,E96-I96,0),-1))</f>
        <v/>
      </c>
      <c r="R96" s="18">
        <f>IF(OR(F96="",J96="",F96="NA",J96="NA"),"",ROUND(IF(F96&gt;J96,F96-J96,0),-1))</f>
        <v/>
      </c>
      <c r="S96" s="34" t="n"/>
      <c r="T96" s="34" t="inlineStr">
        <is>
          <t>No Action</t>
        </is>
      </c>
      <c r="U96" s="35" t="n"/>
      <c r="V96" s="35" t="inlineStr">
        <is>
          <t>Y</t>
        </is>
      </c>
    </row>
    <row r="97" ht="31.5" customFormat="1" customHeight="1" s="30">
      <c r="B97" s="37" t="n"/>
      <c r="C97" s="34" t="n"/>
      <c r="D97" s="34" t="n"/>
      <c r="E97" s="32" t="n"/>
      <c r="F97" s="34" t="n"/>
      <c r="G97" s="34" t="n"/>
      <c r="H97" s="34" t="n"/>
      <c r="I97" s="34" t="n"/>
      <c r="J97" s="34" t="n"/>
      <c r="K97" s="18">
        <f>IF(OR(C97="",E97="",C97="NA",E97="NA"),"",ROUND(C97-E97,-1))</f>
        <v/>
      </c>
      <c r="L97" s="18">
        <f>IF(OR(D97="",F97="",D97="NA",F97="NA"),"",ROUND(D97-F97,-1))</f>
        <v/>
      </c>
      <c r="M97" s="18">
        <f>IF(OR(C97="",G97="",C97="NA",G97="NA"),"",ROUND(C97-G97,-1))</f>
        <v/>
      </c>
      <c r="N97" s="18">
        <f>IF(OR(D97="",H97="",D97="NA",H97="NA"),"",ROUND(D97-H97,-1))</f>
        <v/>
      </c>
      <c r="O97" s="18">
        <f>IF(OR(E97="",G97="",E97="NA",G97="NA"),"",ROUND(E97-G97,-1))</f>
        <v/>
      </c>
      <c r="P97" s="18">
        <f>IF(OR(F97="",H97="",F97="NA",H97="NA"),"",ROUND(F97-H97,-1))</f>
        <v/>
      </c>
      <c r="Q97" s="18">
        <f>IF(OR(E97="",I97="",E97="NA",I97="NA"),"",ROUND(IF(E97&gt;I97,E97-I97,0),-1))</f>
        <v/>
      </c>
      <c r="R97" s="18">
        <f>IF(OR(F97="",J97="",F97="NA",J97="NA"),"",ROUND(IF(F97&gt;J97,F97-J97,0),-1))</f>
        <v/>
      </c>
      <c r="S97" s="34" t="n"/>
      <c r="T97" s="34" t="inlineStr">
        <is>
          <t>No Action</t>
        </is>
      </c>
      <c r="U97" s="35" t="n"/>
      <c r="V97" s="35" t="inlineStr">
        <is>
          <t>Y</t>
        </is>
      </c>
    </row>
    <row r="98" ht="16.5" customFormat="1" customHeight="1" s="30">
      <c r="B98" s="37" t="n"/>
      <c r="C98" s="34" t="n"/>
      <c r="D98" s="34" t="n"/>
      <c r="E98" s="32" t="n"/>
      <c r="F98" s="34" t="n"/>
      <c r="G98" s="34" t="n"/>
      <c r="H98" s="34" t="n"/>
      <c r="I98" s="34" t="n"/>
      <c r="J98" s="34" t="n"/>
      <c r="K98" s="18">
        <f>IF(OR(C98="",E98="",C98="NA",E98="NA"),"",ROUND(C98-E98,-1))</f>
        <v/>
      </c>
      <c r="L98" s="18">
        <f>IF(OR(D98="",F98="",D98="NA",F98="NA"),"",ROUND(D98-F98,-1))</f>
        <v/>
      </c>
      <c r="M98" s="18">
        <f>IF(OR(C98="",G98="",C98="NA",G98="NA"),"",ROUND(C98-G98,-1))</f>
        <v/>
      </c>
      <c r="N98" s="18">
        <f>IF(OR(D98="",H98="",D98="NA",H98="NA"),"",ROUND(D98-H98,-1))</f>
        <v/>
      </c>
      <c r="O98" s="18">
        <f>IF(OR(E98="",G98="",E98="NA",G98="NA"),"",ROUND(E98-G98,-1))</f>
        <v/>
      </c>
      <c r="P98" s="18">
        <f>IF(OR(F98="",H98="",F98="NA",H98="NA"),"",ROUND(F98-H98,-1))</f>
        <v/>
      </c>
      <c r="Q98" s="18">
        <f>IF(OR(E98="",I98="",E98="NA",I98="NA"),"",ROUND(IF(E98&gt;I98,E98-I98,0),-1))</f>
        <v/>
      </c>
      <c r="R98" s="18">
        <f>IF(OR(F98="",J98="",F98="NA",J98="NA"),"",ROUND(IF(F98&gt;J98,F98-J98,0),-1))</f>
        <v/>
      </c>
      <c r="S98" s="34" t="n"/>
      <c r="T98" s="34" t="inlineStr">
        <is>
          <t>No Action</t>
        </is>
      </c>
      <c r="U98" s="35" t="n"/>
      <c r="V98" s="35" t="inlineStr">
        <is>
          <t>Y</t>
        </is>
      </c>
    </row>
    <row r="99" ht="16.5" customFormat="1" customHeight="1" s="30">
      <c r="B99" s="37" t="n"/>
      <c r="C99" s="34" t="n"/>
      <c r="D99" s="34" t="n"/>
      <c r="E99" s="34" t="n"/>
      <c r="F99" s="34" t="n"/>
      <c r="G99" s="34" t="n"/>
      <c r="H99" s="34" t="n"/>
      <c r="I99" s="34" t="n"/>
      <c r="J99" s="34" t="n"/>
      <c r="K99" s="18">
        <f>IF(OR(C99="",E99="",C99="NA",E99="NA"),"",ROUND(C99-E99,-1))</f>
        <v/>
      </c>
      <c r="L99" s="18">
        <f>IF(OR(D99="",F99="",D99="NA",F99="NA"),"",ROUND(D99-F99,-1))</f>
        <v/>
      </c>
      <c r="M99" s="18">
        <f>IF(OR(C99="",G99="",C99="NA",G99="NA"),"",ROUND(C99-G99,-1))</f>
        <v/>
      </c>
      <c r="N99" s="18">
        <f>IF(OR(D99="",H99="",D99="NA",H99="NA"),"",ROUND(D99-H99,-1))</f>
        <v/>
      </c>
      <c r="O99" s="18">
        <f>IF(OR(E99="",G99="",E99="NA",G99="NA"),"",ROUND(E99-G99,-1))</f>
        <v/>
      </c>
      <c r="P99" s="18">
        <f>IF(OR(F99="",H99="",F99="NA",H99="NA"),"",ROUND(F99-H99,-1))</f>
        <v/>
      </c>
      <c r="Q99" s="18">
        <f>IF(OR(E99="",I99="",E99="NA",I99="NA"),"",ROUND(IF(E99&gt;I99,E99-I99,0),-1))</f>
        <v/>
      </c>
      <c r="R99" s="18">
        <f>IF(OR(F99="",J99="",F99="NA",J99="NA"),"",ROUND(IF(F99&gt;J99,F99-J99,0),-1))</f>
        <v/>
      </c>
      <c r="S99" s="34" t="n"/>
      <c r="T99" s="34" t="inlineStr">
        <is>
          <t>No Action</t>
        </is>
      </c>
      <c r="U99" s="35" t="n"/>
      <c r="V99" s="35" t="inlineStr">
        <is>
          <t>Y</t>
        </is>
      </c>
    </row>
    <row r="100" ht="16.5" customFormat="1" customHeight="1" s="30">
      <c r="B100" s="37" t="n"/>
      <c r="C100" s="34" t="n"/>
      <c r="D100" s="34" t="n"/>
      <c r="E100" s="34" t="n"/>
      <c r="F100" s="34" t="n"/>
      <c r="G100" s="34" t="n"/>
      <c r="H100" s="34" t="n"/>
      <c r="I100" s="34" t="n"/>
      <c r="J100" s="34" t="n"/>
      <c r="K100" s="18">
        <f>IF(OR(C100="",E100="",C100="NA",E100="NA"),"",ROUND(C100-E100,-1))</f>
        <v/>
      </c>
      <c r="L100" s="18">
        <f>IF(OR(D100="",F100="",D100="NA",F100="NA"),"",ROUND(D100-F100,-1))</f>
        <v/>
      </c>
      <c r="M100" s="18">
        <f>IF(OR(C100="",G100="",C100="NA",G100="NA"),"",ROUND(C100-G100,-1))</f>
        <v/>
      </c>
      <c r="N100" s="18">
        <f>IF(OR(D100="",H100="",D100="NA",H100="NA"),"",ROUND(D100-H100,-1))</f>
        <v/>
      </c>
      <c r="O100" s="18">
        <f>IF(OR(E100="",G100="",E100="NA",G100="NA"),"",ROUND(E100-G100,-1))</f>
        <v/>
      </c>
      <c r="P100" s="18">
        <f>IF(OR(F100="",H100="",F100="NA",H100="NA"),"",ROUND(F100-H100,-1))</f>
        <v/>
      </c>
      <c r="Q100" s="18">
        <f>IF(OR(E100="",I100="",E100="NA",I100="NA"),"",ROUND(IF(E100&gt;I100,E100-I100,0),-1))</f>
        <v/>
      </c>
      <c r="R100" s="18">
        <f>IF(OR(F100="",J100="",F100="NA",J100="NA"),"",ROUND(IF(F100&gt;J100,F100-J100,0),-1))</f>
        <v/>
      </c>
      <c r="S100" s="34" t="n"/>
      <c r="T100" s="34" t="inlineStr">
        <is>
          <t>No Action</t>
        </is>
      </c>
      <c r="U100" s="35" t="n"/>
      <c r="V100" s="35" t="inlineStr">
        <is>
          <t>Y</t>
        </is>
      </c>
    </row>
    <row r="101" ht="16.5" customFormat="1" customHeight="1" s="30">
      <c r="B101" s="37" t="n"/>
      <c r="C101" s="34" t="n"/>
      <c r="D101" s="34" t="n"/>
      <c r="E101" s="34" t="n"/>
      <c r="F101" s="34" t="n"/>
      <c r="G101" s="34" t="n"/>
      <c r="H101" s="34" t="n"/>
      <c r="I101" s="34" t="n"/>
      <c r="J101" s="34" t="n"/>
      <c r="K101" s="18">
        <f>IF(OR(C101="",E101="",C101="NA",E101="NA"),"",ROUND(C101-E101,-1))</f>
        <v/>
      </c>
      <c r="L101" s="18">
        <f>IF(OR(D101="",F101="",D101="NA",F101="NA"),"",ROUND(D101-F101,-1))</f>
        <v/>
      </c>
      <c r="M101" s="18">
        <f>IF(OR(C101="",G101="",C101="NA",G101="NA"),"",ROUND(C101-G101,-1))</f>
        <v/>
      </c>
      <c r="N101" s="18">
        <f>IF(OR(D101="",H101="",D101="NA",H101="NA"),"",ROUND(D101-H101,-1))</f>
        <v/>
      </c>
      <c r="O101" s="18">
        <f>IF(OR(E101="",G101="",E101="NA",G101="NA"),"",ROUND(E101-G101,-1))</f>
        <v/>
      </c>
      <c r="P101" s="18">
        <f>IF(OR(F101="",H101="",F101="NA",H101="NA"),"",ROUND(F101-H101,-1))</f>
        <v/>
      </c>
      <c r="Q101" s="18">
        <f>IF(OR(E101="",I101="",E101="NA",I101="NA"),"",ROUND(IF(E101&gt;I101,E101-I101,0),-1))</f>
        <v/>
      </c>
      <c r="R101" s="18">
        <f>IF(OR(F101="",J101="",F101="NA",J101="NA"),"",ROUND(IF(F101&gt;J101,F101-J101,0),-1))</f>
        <v/>
      </c>
      <c r="S101" s="34" t="n"/>
      <c r="T101" s="34" t="inlineStr">
        <is>
          <t>No Action</t>
        </is>
      </c>
      <c r="U101" s="35" t="n"/>
      <c r="V101" s="35" t="inlineStr">
        <is>
          <t>Y</t>
        </is>
      </c>
    </row>
    <row r="102" ht="16.5" customFormat="1" customHeight="1" s="30">
      <c r="B102" s="37" t="n"/>
      <c r="C102" s="34" t="n"/>
      <c r="D102" s="34" t="n"/>
      <c r="E102" s="34" t="n"/>
      <c r="F102" s="34" t="n"/>
      <c r="G102" s="34" t="n"/>
      <c r="H102" s="34" t="n"/>
      <c r="I102" s="34" t="n"/>
      <c r="J102" s="34" t="n"/>
      <c r="K102" s="18">
        <f>IF(OR(C102="",E102="",C102="NA",E102="NA"),"",ROUND(C102-E102,-1))</f>
        <v/>
      </c>
      <c r="L102" s="18">
        <f>IF(OR(D102="",F102="",D102="NA",F102="NA"),"",ROUND(D102-F102,-1))</f>
        <v/>
      </c>
      <c r="M102" s="18">
        <f>IF(OR(C102="",G102="",C102="NA",G102="NA"),"",ROUND(C102-G102,-1))</f>
        <v/>
      </c>
      <c r="N102" s="18">
        <f>IF(OR(D102="",H102="",D102="NA",H102="NA"),"",ROUND(D102-H102,-1))</f>
        <v/>
      </c>
      <c r="O102" s="18">
        <f>IF(OR(E102="",G102="",E102="NA",G102="NA"),"",ROUND(E102-G102,-1))</f>
        <v/>
      </c>
      <c r="P102" s="18">
        <f>IF(OR(F102="",H102="",F102="NA",H102="NA"),"",ROUND(F102-H102,-1))</f>
        <v/>
      </c>
      <c r="Q102" s="18">
        <f>IF(OR(E102="",I102="",E102="NA",I102="NA"),"",ROUND(IF(E102&gt;I102,E102-I102,0),-1))</f>
        <v/>
      </c>
      <c r="R102" s="18">
        <f>IF(OR(F102="",J102="",F102="NA",J102="NA"),"",ROUND(IF(F102&gt;J102,F102-J102,0),-1))</f>
        <v/>
      </c>
      <c r="S102" s="34" t="n"/>
      <c r="T102" s="34" t="inlineStr">
        <is>
          <t>No Action</t>
        </is>
      </c>
      <c r="U102" s="35" t="n"/>
      <c r="V102" s="35" t="inlineStr">
        <is>
          <t>Y</t>
        </is>
      </c>
    </row>
    <row r="103" ht="16.5" customFormat="1" customHeight="1" s="30">
      <c r="B103" s="37" t="n"/>
      <c r="C103" s="34" t="n"/>
      <c r="D103" s="34" t="n"/>
      <c r="E103" s="34" t="n"/>
      <c r="F103" s="34" t="n"/>
      <c r="G103" s="34" t="n"/>
      <c r="H103" s="34" t="n"/>
      <c r="I103" s="34" t="n"/>
      <c r="J103" s="34" t="n"/>
      <c r="K103" s="18">
        <f>IF(OR(C103="",E103="",C103="NA",E103="NA"),"",ROUND(C103-E103,-1))</f>
        <v/>
      </c>
      <c r="L103" s="18">
        <f>IF(OR(D103="",F103="",D103="NA",F103="NA"),"",ROUND(D103-F103,-1))</f>
        <v/>
      </c>
      <c r="M103" s="18">
        <f>IF(OR(C103="",G103="",C103="NA",G103="NA"),"",ROUND(C103-G103,-1))</f>
        <v/>
      </c>
      <c r="N103" s="18">
        <f>IF(OR(D103="",H103="",D103="NA",H103="NA"),"",ROUND(D103-H103,-1))</f>
        <v/>
      </c>
      <c r="O103" s="18">
        <f>IF(OR(E103="",G103="",E103="NA",G103="NA"),"",ROUND(E103-G103,-1))</f>
        <v/>
      </c>
      <c r="P103" s="18">
        <f>IF(OR(F103="",H103="",F103="NA",H103="NA"),"",ROUND(F103-H103,-1))</f>
        <v/>
      </c>
      <c r="Q103" s="18">
        <f>IF(OR(E103="",I103="",E103="NA",I103="NA"),"",ROUND(IF(E103&gt;I103,E103-I103,0),-1))</f>
        <v/>
      </c>
      <c r="R103" s="18">
        <f>IF(OR(F103="",J103="",F103="NA",J103="NA"),"",ROUND(IF(F103&gt;J103,F103-J103,0),-1))</f>
        <v/>
      </c>
      <c r="S103" s="34" t="n"/>
      <c r="T103" s="34" t="inlineStr">
        <is>
          <t>No Action</t>
        </is>
      </c>
      <c r="U103" s="35" t="n"/>
      <c r="V103" s="35" t="inlineStr">
        <is>
          <t>Y</t>
        </is>
      </c>
    </row>
    <row r="104" ht="16.5" customFormat="1" customHeight="1" s="30">
      <c r="B104" s="37" t="n"/>
      <c r="C104" s="34" t="n"/>
      <c r="D104" s="34" t="n"/>
      <c r="E104" s="34" t="n"/>
      <c r="F104" s="34" t="n"/>
      <c r="G104" s="34" t="n"/>
      <c r="H104" s="34" t="n"/>
      <c r="I104" s="34" t="n"/>
      <c r="J104" s="34" t="n"/>
      <c r="K104" s="18">
        <f>IF(OR(C104="",E104="",C104="NA",E104="NA"),"",ROUND(C104-E104,-1))</f>
        <v/>
      </c>
      <c r="L104" s="18">
        <f>IF(OR(D104="",F104="",D104="NA",F104="NA"),"",ROUND(D104-F104,-1))</f>
        <v/>
      </c>
      <c r="M104" s="18">
        <f>IF(OR(C104="",G104="",C104="NA",G104="NA"),"",ROUND(C104-G104,-1))</f>
        <v/>
      </c>
      <c r="N104" s="18">
        <f>IF(OR(D104="",H104="",D104="NA",H104="NA"),"",ROUND(D104-H104,-1))</f>
        <v/>
      </c>
      <c r="O104" s="18">
        <f>IF(OR(E104="",G104="",E104="NA",G104="NA"),"",ROUND(E104-G104,-1))</f>
        <v/>
      </c>
      <c r="P104" s="18">
        <f>IF(OR(F104="",H104="",F104="NA",H104="NA"),"",ROUND(F104-H104,-1))</f>
        <v/>
      </c>
      <c r="Q104" s="18">
        <f>IF(OR(E104="",I104="",E104="NA",I104="NA"),"",ROUND(IF(E104&gt;I104,E104-I104,0),-1))</f>
        <v/>
      </c>
      <c r="R104" s="18">
        <f>IF(OR(F104="",J104="",F104="NA",J104="NA"),"",ROUND(IF(F104&gt;J104,F104-J104,0),-1))</f>
        <v/>
      </c>
      <c r="S104" s="34" t="n"/>
      <c r="T104" s="34" t="inlineStr">
        <is>
          <t>No Action</t>
        </is>
      </c>
      <c r="U104" s="35" t="n"/>
      <c r="V104" s="35" t="inlineStr">
        <is>
          <t>Y</t>
        </is>
      </c>
    </row>
    <row r="105" ht="16.5" customFormat="1" customHeight="1" s="30">
      <c r="B105" s="37" t="n"/>
      <c r="C105" s="34" t="n"/>
      <c r="D105" s="34" t="n"/>
      <c r="E105" s="34" t="n"/>
      <c r="F105" s="34" t="n"/>
      <c r="G105" s="34" t="n"/>
      <c r="H105" s="34" t="n"/>
      <c r="I105" s="34" t="n"/>
      <c r="J105" s="34" t="n"/>
      <c r="K105" s="18">
        <f>IF(OR(C105="",E105="",C105="NA",E105="NA"),"",ROUND(C105-E105,-1))</f>
        <v/>
      </c>
      <c r="L105" s="18">
        <f>IF(OR(D105="",F105="",D105="NA",F105="NA"),"",ROUND(D105-F105,-1))</f>
        <v/>
      </c>
      <c r="M105" s="18">
        <f>IF(OR(C105="",G105="",C105="NA",G105="NA"),"",ROUND(C105-G105,-1))</f>
        <v/>
      </c>
      <c r="N105" s="18">
        <f>IF(OR(D105="",H105="",D105="NA",H105="NA"),"",ROUND(D105-H105,-1))</f>
        <v/>
      </c>
      <c r="O105" s="18">
        <f>IF(OR(E105="",G105="",E105="NA",G105="NA"),"",ROUND(E105-G105,-1))</f>
        <v/>
      </c>
      <c r="P105" s="18">
        <f>IF(OR(F105="",H105="",F105="NA",H105="NA"),"",ROUND(F105-H105,-1))</f>
        <v/>
      </c>
      <c r="Q105" s="18">
        <f>IF(OR(E105="",I105="",E105="NA",I105="NA"),"",ROUND(IF(E105&gt;I105,E105-I105,0),-1))</f>
        <v/>
      </c>
      <c r="R105" s="18">
        <f>IF(OR(F105="",J105="",F105="NA",J105="NA"),"",ROUND(IF(F105&gt;J105,F105-J105,0),-1))</f>
        <v/>
      </c>
      <c r="S105" s="34" t="n"/>
      <c r="T105" s="34" t="inlineStr">
        <is>
          <t>No Action</t>
        </is>
      </c>
      <c r="U105" s="35" t="n"/>
      <c r="V105" s="35" t="inlineStr">
        <is>
          <t>Y</t>
        </is>
      </c>
    </row>
    <row r="106" ht="15.75" customHeight="1" s="3">
      <c r="K106">
        <f>IF(OR(C106="",E106="",C106="NA",E106="NA"),"",ROUND(C106-E106,-1))</f>
        <v/>
      </c>
      <c r="L106">
        <f>IF(OR(D106="",F106="",D106="NA",F106="NA"),"",ROUND(D106-F106,-1))</f>
        <v/>
      </c>
      <c r="M106">
        <f>IF(OR(C106="",G106="",C106="NA",G106="NA"),"",ROUND(C106-G106,-1))</f>
        <v/>
      </c>
      <c r="N106">
        <f>IF(OR(D106="",H106="",D106="NA",H106="NA"),"",ROUND(D106-H106,-1))</f>
        <v/>
      </c>
      <c r="O106">
        <f>IF(OR(E106="",G106="",E106="NA",G106="NA"),"",ROUND(E106-G106,-1))</f>
        <v/>
      </c>
      <c r="P106">
        <f>IF(OR(F106="",H106="",F106="NA",H106="NA"),"",ROUND(F106-H106,-1))</f>
        <v/>
      </c>
      <c r="Q106">
        <f>IF(OR(E106="",I106="",E106="NA",I106="NA"),"",ROUND(IF(E106&gt;I106,E106-I106,0),-1))</f>
        <v/>
      </c>
      <c r="R106">
        <f>IF(OR(F106="",J106="",F106="NA",J106="NA"),"",ROUND(IF(F106&gt;J106,F106-J106,0),-1))</f>
        <v/>
      </c>
      <c r="T106" t="inlineStr">
        <is>
          <t>No Action</t>
        </is>
      </c>
      <c r="V106" t="inlineStr">
        <is>
          <t>Y</t>
        </is>
      </c>
    </row>
    <row r="107">
      <c r="K107">
        <f>IF(OR(C107="",E107="",C107="NA",E107="NA"),"",ROUND(C107-E107,-1))</f>
        <v/>
      </c>
      <c r="L107">
        <f>IF(OR(D107="",F107="",D107="NA",F107="NA"),"",ROUND(D107-F107,-1))</f>
        <v/>
      </c>
      <c r="M107">
        <f>IF(OR(C107="",G107="",C107="NA",G107="NA"),"",ROUND(C107-G107,-1))</f>
        <v/>
      </c>
      <c r="N107">
        <f>IF(OR(D107="",H107="",D107="NA",H107="NA"),"",ROUND(D107-H107,-1))</f>
        <v/>
      </c>
      <c r="O107">
        <f>IF(OR(E107="",G107="",E107="NA",G107="NA"),"",ROUND(E107-G107,-1))</f>
        <v/>
      </c>
      <c r="P107">
        <f>IF(OR(F107="",H107="",F107="NA",H107="NA"),"",ROUND(F107-H107,-1))</f>
        <v/>
      </c>
      <c r="Q107">
        <f>IF(OR(E107="",I107="",E107="NA",I107="NA"),"",ROUND(IF(E107&gt;I107,E107-I107,0),-1))</f>
        <v/>
      </c>
      <c r="R107">
        <f>IF(OR(F107="",J107="",F107="NA",J107="NA"),"",ROUND(IF(F107&gt;J107,F107-J107,0),-1))</f>
        <v/>
      </c>
      <c r="T107" t="inlineStr">
        <is>
          <t>No Action</t>
        </is>
      </c>
      <c r="V107" t="inlineStr">
        <is>
          <t>Y</t>
        </is>
      </c>
    </row>
    <row r="108">
      <c r="K108">
        <f>IF(OR(C108="",E108="",C108="NA",E108="NA"),"",ROUND(C108-E108,-1))</f>
        <v/>
      </c>
      <c r="L108">
        <f>IF(OR(D108="",F108="",D108="NA",F108="NA"),"",ROUND(D108-F108,-1))</f>
        <v/>
      </c>
      <c r="M108">
        <f>IF(OR(C108="",G108="",C108="NA",G108="NA"),"",ROUND(C108-G108,-1))</f>
        <v/>
      </c>
      <c r="N108">
        <f>IF(OR(D108="",H108="",D108="NA",H108="NA"),"",ROUND(D108-H108,-1))</f>
        <v/>
      </c>
      <c r="O108">
        <f>IF(OR(E108="",G108="",E108="NA",G108="NA"),"",ROUND(E108-G108,-1))</f>
        <v/>
      </c>
      <c r="P108">
        <f>IF(OR(F108="",H108="",F108="NA",H108="NA"),"",ROUND(F108-H108,-1))</f>
        <v/>
      </c>
      <c r="Q108">
        <f>IF(OR(E108="",I108="",E108="NA",I108="NA"),"",ROUND(IF(E108&gt;I108,E108-I108,0),-1))</f>
        <v/>
      </c>
      <c r="R108">
        <f>IF(OR(F108="",J108="",F108="NA",J108="NA"),"",ROUND(IF(F108&gt;J108,F108-J108,0),-1))</f>
        <v/>
      </c>
      <c r="T108" t="inlineStr">
        <is>
          <t>No Action</t>
        </is>
      </c>
      <c r="V108" t="inlineStr">
        <is>
          <t>Y</t>
        </is>
      </c>
    </row>
    <row r="109">
      <c r="K109">
        <f>IF(OR(C109="",E109="",C109="NA",E109="NA"),"",ROUND(C109-E109,-1))</f>
        <v/>
      </c>
      <c r="L109">
        <f>IF(OR(D109="",F109="",D109="NA",F109="NA"),"",ROUND(D109-F109,-1))</f>
        <v/>
      </c>
      <c r="M109">
        <f>IF(OR(C109="",G109="",C109="NA",G109="NA"),"",ROUND(C109-G109,-1))</f>
        <v/>
      </c>
      <c r="N109">
        <f>IF(OR(D109="",H109="",D109="NA",H109="NA"),"",ROUND(D109-H109,-1))</f>
        <v/>
      </c>
      <c r="O109">
        <f>IF(OR(E109="",G109="",E109="NA",G109="NA"),"",ROUND(E109-G109,-1))</f>
        <v/>
      </c>
      <c r="P109">
        <f>IF(OR(F109="",H109="",F109="NA",H109="NA"),"",ROUND(F109-H109,-1))</f>
        <v/>
      </c>
      <c r="Q109">
        <f>IF(OR(E109="",I109="",E109="NA",I109="NA"),"",ROUND(IF(E109&gt;I109,E109-I109,0),-1))</f>
        <v/>
      </c>
      <c r="R109">
        <f>IF(OR(F109="",J109="",F109="NA",J109="NA"),"",ROUND(IF(F109&gt;J109,F109-J109,0),-1))</f>
        <v/>
      </c>
      <c r="T109" t="inlineStr">
        <is>
          <t>No Action</t>
        </is>
      </c>
      <c r="V109" t="inlineStr">
        <is>
          <t>Y</t>
        </is>
      </c>
    </row>
    <row r="110">
      <c r="K110">
        <f>IF(OR(C110="",E110="",C110="NA",E110="NA"),"",ROUND(C110-E110,-1))</f>
        <v/>
      </c>
      <c r="L110">
        <f>IF(OR(D110="",F110="",D110="NA",F110="NA"),"",ROUND(D110-F110,-1))</f>
        <v/>
      </c>
      <c r="M110">
        <f>IF(OR(C110="",G110="",C110="NA",G110="NA"),"",ROUND(C110-G110,-1))</f>
        <v/>
      </c>
      <c r="N110">
        <f>IF(OR(D110="",H110="",D110="NA",H110="NA"),"",ROUND(D110-H110,-1))</f>
        <v/>
      </c>
      <c r="O110">
        <f>IF(OR(E110="",G110="",E110="NA",G110="NA"),"",ROUND(E110-G110,-1))</f>
        <v/>
      </c>
      <c r="P110">
        <f>IF(OR(F110="",H110="",F110="NA",H110="NA"),"",ROUND(F110-H110,-1))</f>
        <v/>
      </c>
      <c r="Q110">
        <f>IF(OR(E110="",I110="",E110="NA",I110="NA"),"",ROUND(IF(E110&gt;I110,E110-I110,0),-1))</f>
        <v/>
      </c>
      <c r="R110">
        <f>IF(OR(F110="",J110="",F110="NA",J110="NA"),"",ROUND(IF(F110&gt;J110,F110-J110,0),-1))</f>
        <v/>
      </c>
      <c r="T110" t="inlineStr">
        <is>
          <t>No Action</t>
        </is>
      </c>
      <c r="V110" t="inlineStr">
        <is>
          <t>Y</t>
        </is>
      </c>
    </row>
    <row r="111">
      <c r="K111">
        <f>IF(OR(C111="",E111="",C111="NA",E111="NA"),"",ROUND(C111-E111,-1))</f>
        <v/>
      </c>
      <c r="L111">
        <f>IF(OR(D111="",F111="",D111="NA",F111="NA"),"",ROUND(D111-F111,-1))</f>
        <v/>
      </c>
      <c r="M111">
        <f>IF(OR(C111="",G111="",C111="NA",G111="NA"),"",ROUND(C111-G111,-1))</f>
        <v/>
      </c>
      <c r="N111">
        <f>IF(OR(D111="",H111="",D111="NA",H111="NA"),"",ROUND(D111-H111,-1))</f>
        <v/>
      </c>
      <c r="O111">
        <f>IF(OR(E111="",G111="",E111="NA",G111="NA"),"",ROUND(E111-G111,-1))</f>
        <v/>
      </c>
      <c r="P111">
        <f>IF(OR(F111="",H111="",F111="NA",H111="NA"),"",ROUND(F111-H111,-1))</f>
        <v/>
      </c>
      <c r="Q111">
        <f>IF(OR(E111="",I111="",E111="NA",I111="NA"),"",ROUND(IF(E111&gt;I111,E111-I111,0),-1))</f>
        <v/>
      </c>
      <c r="R111">
        <f>IF(OR(F111="",J111="",F111="NA",J111="NA"),"",ROUND(IF(F111&gt;J111,F111-J111,0),-1))</f>
        <v/>
      </c>
      <c r="T111" t="inlineStr">
        <is>
          <t>No Action</t>
        </is>
      </c>
      <c r="V111" t="inlineStr">
        <is>
          <t>Y</t>
        </is>
      </c>
    </row>
    <row r="112">
      <c r="K112">
        <f>IF(OR(C112="",E112="",C112="NA",E112="NA"),"",ROUND(C112-E112,-1))</f>
        <v/>
      </c>
      <c r="L112">
        <f>IF(OR(D112="",F112="",D112="NA",F112="NA"),"",ROUND(D112-F112,-1))</f>
        <v/>
      </c>
      <c r="M112">
        <f>IF(OR(C112="",G112="",C112="NA",G112="NA"),"",ROUND(C112-G112,-1))</f>
        <v/>
      </c>
      <c r="N112">
        <f>IF(OR(D112="",H112="",D112="NA",H112="NA"),"",ROUND(D112-H112,-1))</f>
        <v/>
      </c>
      <c r="O112">
        <f>IF(OR(E112="",G112="",E112="NA",G112="NA"),"",ROUND(E112-G112,-1))</f>
        <v/>
      </c>
      <c r="P112">
        <f>IF(OR(F112="",H112="",F112="NA",H112="NA"),"",ROUND(F112-H112,-1))</f>
        <v/>
      </c>
      <c r="Q112">
        <f>IF(OR(E112="",I112="",E112="NA",I112="NA"),"",ROUND(IF(E112&gt;I112,E112-I112,0),-1))</f>
        <v/>
      </c>
      <c r="R112">
        <f>IF(OR(F112="",J112="",F112="NA",J112="NA"),"",ROUND(IF(F112&gt;J112,F112-J112,0),-1))</f>
        <v/>
      </c>
      <c r="T112" t="inlineStr">
        <is>
          <t>No Action</t>
        </is>
      </c>
      <c r="V112" t="inlineStr">
        <is>
          <t>Y</t>
        </is>
      </c>
    </row>
    <row r="113">
      <c r="K113">
        <f>IF(OR(C113="",E113="",C113="NA",E113="NA"),"",ROUND(C113-E113,-1))</f>
        <v/>
      </c>
      <c r="L113">
        <f>IF(OR(D113="",F113="",D113="NA",F113="NA"),"",ROUND(D113-F113,-1))</f>
        <v/>
      </c>
      <c r="M113">
        <f>IF(OR(C113="",G113="",C113="NA",G113="NA"),"",ROUND(C113-G113,-1))</f>
        <v/>
      </c>
      <c r="N113">
        <f>IF(OR(D113="",H113="",D113="NA",H113="NA"),"",ROUND(D113-H113,-1))</f>
        <v/>
      </c>
      <c r="O113">
        <f>IF(OR(E113="",G113="",E113="NA",G113="NA"),"",ROUND(E113-G113,-1))</f>
        <v/>
      </c>
      <c r="P113">
        <f>IF(OR(F113="",H113="",F113="NA",H113="NA"),"",ROUND(F113-H113,-1))</f>
        <v/>
      </c>
      <c r="Q113">
        <f>IF(OR(E113="",I113="",E113="NA",I113="NA"),"",ROUND(IF(E113&gt;I113,E113-I113,0),-1))</f>
        <v/>
      </c>
      <c r="R113">
        <f>IF(OR(F113="",J113="",F113="NA",J113="NA"),"",ROUND(IF(F113&gt;J113,F113-J113,0),-1))</f>
        <v/>
      </c>
      <c r="T113" t="inlineStr">
        <is>
          <t>No Action</t>
        </is>
      </c>
      <c r="V113" t="inlineStr">
        <is>
          <t>Y</t>
        </is>
      </c>
    </row>
    <row r="114">
      <c r="K114">
        <f>IF(OR(C114="",E114="",C114="NA",E114="NA"),"",ROUND(C114-E114,-1))</f>
        <v/>
      </c>
      <c r="L114">
        <f>IF(OR(D114="",F114="",D114="NA",F114="NA"),"",ROUND(D114-F114,-1))</f>
        <v/>
      </c>
      <c r="M114">
        <f>IF(OR(C114="",G114="",C114="NA",G114="NA"),"",ROUND(C114-G114,-1))</f>
        <v/>
      </c>
      <c r="N114">
        <f>IF(OR(D114="",H114="",D114="NA",H114="NA"),"",ROUND(D114-H114,-1))</f>
        <v/>
      </c>
      <c r="O114">
        <f>IF(OR(E114="",G114="",E114="NA",G114="NA"),"",ROUND(E114-G114,-1))</f>
        <v/>
      </c>
      <c r="P114">
        <f>IF(OR(F114="",H114="",F114="NA",H114="NA"),"",ROUND(F114-H114,-1))</f>
        <v/>
      </c>
      <c r="Q114">
        <f>IF(OR(E114="",I114="",E114="NA",I114="NA"),"",ROUND(IF(E114&gt;I114,E114-I114,0),-1))</f>
        <v/>
      </c>
      <c r="R114">
        <f>IF(OR(F114="",J114="",F114="NA",J114="NA"),"",ROUND(IF(F114&gt;J114,F114-J114,0),-1))</f>
        <v/>
      </c>
      <c r="T114" t="inlineStr">
        <is>
          <t>No Action</t>
        </is>
      </c>
      <c r="V114" t="inlineStr">
        <is>
          <t>Y</t>
        </is>
      </c>
    </row>
    <row r="115">
      <c r="K115">
        <f>IF(OR(C115="",E115="",C115="NA",E115="NA"),"",ROUND(C115-E115,-1))</f>
        <v/>
      </c>
      <c r="L115">
        <f>IF(OR(D115="",F115="",D115="NA",F115="NA"),"",ROUND(D115-F115,-1))</f>
        <v/>
      </c>
      <c r="M115">
        <f>IF(OR(C115="",G115="",C115="NA",G115="NA"),"",ROUND(C115-G115,-1))</f>
        <v/>
      </c>
      <c r="N115">
        <f>IF(OR(D115="",H115="",D115="NA",H115="NA"),"",ROUND(D115-H115,-1))</f>
        <v/>
      </c>
      <c r="O115">
        <f>IF(OR(E115="",G115="",E115="NA",G115="NA"),"",ROUND(E115-G115,-1))</f>
        <v/>
      </c>
      <c r="P115">
        <f>IF(OR(F115="",H115="",F115="NA",H115="NA"),"",ROUND(F115-H115,-1))</f>
        <v/>
      </c>
      <c r="Q115">
        <f>IF(OR(E115="",I115="",E115="NA",I115="NA"),"",ROUND(IF(E115&gt;I115,E115-I115,0),-1))</f>
        <v/>
      </c>
      <c r="R115">
        <f>IF(OR(F115="",J115="",F115="NA",J115="NA"),"",ROUND(IF(F115&gt;J115,F115-J115,0),-1))</f>
        <v/>
      </c>
      <c r="T115" t="inlineStr">
        <is>
          <t>No Action</t>
        </is>
      </c>
      <c r="V115" t="inlineStr">
        <is>
          <t>Y</t>
        </is>
      </c>
    </row>
    <row r="116">
      <c r="K116">
        <f>IF(OR(C116="",E116="",C116="NA",E116="NA"),"",ROUND(C116-E116,-1))</f>
        <v/>
      </c>
      <c r="L116">
        <f>IF(OR(D116="",F116="",D116="NA",F116="NA"),"",ROUND(D116-F116,-1))</f>
        <v/>
      </c>
      <c r="M116">
        <f>IF(OR(C116="",G116="",C116="NA",G116="NA"),"",ROUND(C116-G116,-1))</f>
        <v/>
      </c>
      <c r="N116">
        <f>IF(OR(D116="",H116="",D116="NA",H116="NA"),"",ROUND(D116-H116,-1))</f>
        <v/>
      </c>
      <c r="O116">
        <f>IF(OR(E116="",G116="",E116="NA",G116="NA"),"",ROUND(E116-G116,-1))</f>
        <v/>
      </c>
      <c r="P116">
        <f>IF(OR(F116="",H116="",F116="NA",H116="NA"),"",ROUND(F116-H116,-1))</f>
        <v/>
      </c>
      <c r="Q116">
        <f>IF(OR(E116="",I116="",E116="NA",I116="NA"),"",ROUND(IF(E116&gt;I116,E116-I116,0),-1))</f>
        <v/>
      </c>
      <c r="R116">
        <f>IF(OR(F116="",J116="",F116="NA",J116="NA"),"",ROUND(IF(F116&gt;J116,F116-J116,0),-1))</f>
        <v/>
      </c>
      <c r="T116" t="inlineStr">
        <is>
          <t>No Action</t>
        </is>
      </c>
      <c r="V116" t="inlineStr">
        <is>
          <t>Y</t>
        </is>
      </c>
    </row>
    <row r="117">
      <c r="K117">
        <f>IF(OR(C117="",E117="",C117="NA",E117="NA"),"",ROUND(C117-E117,-1))</f>
        <v/>
      </c>
      <c r="L117">
        <f>IF(OR(D117="",F117="",D117="NA",F117="NA"),"",ROUND(D117-F117,-1))</f>
        <v/>
      </c>
      <c r="M117">
        <f>IF(OR(C117="",G117="",C117="NA",G117="NA"),"",ROUND(C117-G117,-1))</f>
        <v/>
      </c>
      <c r="N117">
        <f>IF(OR(D117="",H117="",D117="NA",H117="NA"),"",ROUND(D117-H117,-1))</f>
        <v/>
      </c>
      <c r="O117">
        <f>IF(OR(E117="",G117="",E117="NA",G117="NA"),"",ROUND(E117-G117,-1))</f>
        <v/>
      </c>
      <c r="P117">
        <f>IF(OR(F117="",H117="",F117="NA",H117="NA"),"",ROUND(F117-H117,-1))</f>
        <v/>
      </c>
      <c r="Q117">
        <f>IF(OR(E117="",I117="",E117="NA",I117="NA"),"",ROUND(IF(E117&gt;I117,E117-I117,0),-1))</f>
        <v/>
      </c>
      <c r="R117">
        <f>IF(OR(F117="",J117="",F117="NA",J117="NA"),"",ROUND(IF(F117&gt;J117,F117-J117,0),-1))</f>
        <v/>
      </c>
      <c r="T117" t="inlineStr">
        <is>
          <t>No Action</t>
        </is>
      </c>
      <c r="V117" t="inlineStr">
        <is>
          <t>Y</t>
        </is>
      </c>
    </row>
    <row r="118">
      <c r="K118">
        <f>IF(OR(C118="",E118="",C118="NA",E118="NA"),"",ROUND(C118-E118,-1))</f>
        <v/>
      </c>
      <c r="L118">
        <f>IF(OR(D118="",F118="",D118="NA",F118="NA"),"",ROUND(D118-F118,-1))</f>
        <v/>
      </c>
      <c r="M118">
        <f>IF(OR(C118="",G118="",C118="NA",G118="NA"),"",ROUND(C118-G118,-1))</f>
        <v/>
      </c>
      <c r="N118">
        <f>IF(OR(D118="",H118="",D118="NA",H118="NA"),"",ROUND(D118-H118,-1))</f>
        <v/>
      </c>
      <c r="O118">
        <f>IF(OR(E118="",G118="",E118="NA",G118="NA"),"",ROUND(E118-G118,-1))</f>
        <v/>
      </c>
      <c r="P118">
        <f>IF(OR(F118="",H118="",F118="NA",H118="NA"),"",ROUND(F118-H118,-1))</f>
        <v/>
      </c>
      <c r="Q118">
        <f>IF(OR(E118="",I118="",E118="NA",I118="NA"),"",ROUND(IF(E118&gt;I118,E118-I118,0),-1))</f>
        <v/>
      </c>
      <c r="R118">
        <f>IF(OR(F118="",J118="",F118="NA",J118="NA"),"",ROUND(IF(F118&gt;J118,F118-J118,0),-1))</f>
        <v/>
      </c>
      <c r="T118" t="inlineStr">
        <is>
          <t>No Action</t>
        </is>
      </c>
      <c r="V118" t="inlineStr">
        <is>
          <t>Y</t>
        </is>
      </c>
    </row>
    <row r="119">
      <c r="K119">
        <f>IF(OR(C119="",E119="",C119="NA",E119="NA"),"",ROUND(C119-E119,-1))</f>
        <v/>
      </c>
      <c r="L119">
        <f>IF(OR(D119="",F119="",D119="NA",F119="NA"),"",ROUND(D119-F119,-1))</f>
        <v/>
      </c>
      <c r="M119">
        <f>IF(OR(C119="",G119="",C119="NA",G119="NA"),"",ROUND(C119-G119,-1))</f>
        <v/>
      </c>
      <c r="N119">
        <f>IF(OR(D119="",H119="",D119="NA",H119="NA"),"",ROUND(D119-H119,-1))</f>
        <v/>
      </c>
      <c r="O119">
        <f>IF(OR(E119="",G119="",E119="NA",G119="NA"),"",ROUND(E119-G119,-1))</f>
        <v/>
      </c>
      <c r="P119">
        <f>IF(OR(F119="",H119="",F119="NA",H119="NA"),"",ROUND(F119-H119,-1))</f>
        <v/>
      </c>
      <c r="Q119">
        <f>IF(OR(E119="",I119="",E119="NA",I119="NA"),"",ROUND(IF(E119&gt;I119,E119-I119,0),-1))</f>
        <v/>
      </c>
      <c r="R119">
        <f>IF(OR(F119="",J119="",F119="NA",J119="NA"),"",ROUND(IF(F119&gt;J119,F119-J119,0),-1))</f>
        <v/>
      </c>
      <c r="T119" t="inlineStr">
        <is>
          <t>No Action</t>
        </is>
      </c>
      <c r="V119" t="inlineStr">
        <is>
          <t>Y</t>
        </is>
      </c>
    </row>
    <row r="120">
      <c r="K120">
        <f>IF(OR(C120="",E120="",C120="NA",E120="NA"),"",ROUND(C120-E120,-1))</f>
        <v/>
      </c>
      <c r="L120">
        <f>IF(OR(D120="",F120="",D120="NA",F120="NA"),"",ROUND(D120-F120,-1))</f>
        <v/>
      </c>
      <c r="M120">
        <f>IF(OR(C120="",G120="",C120="NA",G120="NA"),"",ROUND(C120-G120,-1))</f>
        <v/>
      </c>
      <c r="N120">
        <f>IF(OR(D120="",H120="",D120="NA",H120="NA"),"",ROUND(D120-H120,-1))</f>
        <v/>
      </c>
      <c r="O120">
        <f>IF(OR(E120="",G120="",E120="NA",G120="NA"),"",ROUND(E120-G120,-1))</f>
        <v/>
      </c>
      <c r="P120">
        <f>IF(OR(F120="",H120="",F120="NA",H120="NA"),"",ROUND(F120-H120,-1))</f>
        <v/>
      </c>
      <c r="Q120">
        <f>IF(OR(E120="",I120="",E120="NA",I120="NA"),"",ROUND(IF(E120&gt;I120,E120-I120,0),-1))</f>
        <v/>
      </c>
      <c r="R120">
        <f>IF(OR(F120="",J120="",F120="NA",J120="NA"),"",ROUND(IF(F120&gt;J120,F120-J120,0),-1))</f>
        <v/>
      </c>
      <c r="T120" t="inlineStr">
        <is>
          <t>No Action</t>
        </is>
      </c>
      <c r="V120" t="inlineStr">
        <is>
          <t>Y</t>
        </is>
      </c>
    </row>
    <row r="121">
      <c r="K121">
        <f>IF(OR(C121="",E121="",C121="NA",E121="NA"),"",ROUND(C121-E121,-1))</f>
        <v/>
      </c>
      <c r="L121">
        <f>IF(OR(D121="",F121="",D121="NA",F121="NA"),"",ROUND(D121-F121,-1))</f>
        <v/>
      </c>
      <c r="M121">
        <f>IF(OR(C121="",G121="",C121="NA",G121="NA"),"",ROUND(C121-G121,-1))</f>
        <v/>
      </c>
      <c r="N121">
        <f>IF(OR(D121="",H121="",D121="NA",H121="NA"),"",ROUND(D121-H121,-1))</f>
        <v/>
      </c>
      <c r="O121">
        <f>IF(OR(E121="",G121="",E121="NA",G121="NA"),"",ROUND(E121-G121,-1))</f>
        <v/>
      </c>
      <c r="P121">
        <f>IF(OR(F121="",H121="",F121="NA",H121="NA"),"",ROUND(F121-H121,-1))</f>
        <v/>
      </c>
      <c r="Q121">
        <f>IF(OR(E121="",I121="",E121="NA",I121="NA"),"",ROUND(IF(E121&gt;I121,E121-I121,0),-1))</f>
        <v/>
      </c>
      <c r="R121">
        <f>IF(OR(F121="",J121="",F121="NA",J121="NA"),"",ROUND(IF(F121&gt;J121,F121-J121,0),-1))</f>
        <v/>
      </c>
      <c r="T121" t="inlineStr">
        <is>
          <t>No Action</t>
        </is>
      </c>
      <c r="V121" t="inlineStr">
        <is>
          <t>Y</t>
        </is>
      </c>
    </row>
    <row r="122">
      <c r="K122">
        <f>IF(OR(C122="",E122="",C122="NA",E122="NA"),"",ROUND(C122-E122,-1))</f>
        <v/>
      </c>
      <c r="L122">
        <f>IF(OR(D122="",F122="",D122="NA",F122="NA"),"",ROUND(D122-F122,-1))</f>
        <v/>
      </c>
      <c r="M122">
        <f>IF(OR(C122="",G122="",C122="NA",G122="NA"),"",ROUND(C122-G122,-1))</f>
        <v/>
      </c>
      <c r="N122">
        <f>IF(OR(D122="",H122="",D122="NA",H122="NA"),"",ROUND(D122-H122,-1))</f>
        <v/>
      </c>
      <c r="O122">
        <f>IF(OR(E122="",G122="",E122="NA",G122="NA"),"",ROUND(E122-G122,-1))</f>
        <v/>
      </c>
      <c r="P122">
        <f>IF(OR(F122="",H122="",F122="NA",H122="NA"),"",ROUND(F122-H122,-1))</f>
        <v/>
      </c>
      <c r="Q122">
        <f>IF(OR(E122="",I122="",E122="NA",I122="NA"),"",ROUND(IF(E122&gt;I122,E122-I122,0),-1))</f>
        <v/>
      </c>
      <c r="R122">
        <f>IF(OR(F122="",J122="",F122="NA",J122="NA"),"",ROUND(IF(F122&gt;J122,F122-J122,0),-1))</f>
        <v/>
      </c>
      <c r="T122" t="inlineStr">
        <is>
          <t>No Action</t>
        </is>
      </c>
      <c r="V122" t="inlineStr">
        <is>
          <t>Y</t>
        </is>
      </c>
    </row>
    <row r="123">
      <c r="K123">
        <f>IF(OR(C123="",E123="",C123="NA",E123="NA"),"",ROUND(C123-E123,-1))</f>
        <v/>
      </c>
      <c r="L123">
        <f>IF(OR(D123="",F123="",D123="NA",F123="NA"),"",ROUND(D123-F123,-1))</f>
        <v/>
      </c>
      <c r="M123">
        <f>IF(OR(C123="",G123="",C123="NA",G123="NA"),"",ROUND(C123-G123,-1))</f>
        <v/>
      </c>
      <c r="N123">
        <f>IF(OR(D123="",H123="",D123="NA",H123="NA"),"",ROUND(D123-H123,-1))</f>
        <v/>
      </c>
      <c r="O123">
        <f>IF(OR(E123="",G123="",E123="NA",G123="NA"),"",ROUND(E123-G123,-1))</f>
        <v/>
      </c>
      <c r="P123">
        <f>IF(OR(F123="",H123="",F123="NA",H123="NA"),"",ROUND(F123-H123,-1))</f>
        <v/>
      </c>
      <c r="Q123">
        <f>IF(OR(E123="",I123="",E123="NA",I123="NA"),"",ROUND(IF(E123&gt;I123,E123-I123,0),-1))</f>
        <v/>
      </c>
      <c r="R123">
        <f>IF(OR(F123="",J123="",F123="NA",J123="NA"),"",ROUND(IF(F123&gt;J123,F123-J123,0),-1))</f>
        <v/>
      </c>
      <c r="T123" t="inlineStr">
        <is>
          <t>No Action</t>
        </is>
      </c>
      <c r="V123" t="inlineStr">
        <is>
          <t>Y</t>
        </is>
      </c>
    </row>
    <row r="124">
      <c r="K124">
        <f>IF(OR(C124="",E124="",C124="NA",E124="NA"),"",ROUND(C124-E124,-1))</f>
        <v/>
      </c>
      <c r="L124">
        <f>IF(OR(D124="",F124="",D124="NA",F124="NA"),"",ROUND(D124-F124,-1))</f>
        <v/>
      </c>
      <c r="M124">
        <f>IF(OR(C124="",G124="",C124="NA",G124="NA"),"",ROUND(C124-G124,-1))</f>
        <v/>
      </c>
      <c r="N124">
        <f>IF(OR(D124="",H124="",D124="NA",H124="NA"),"",ROUND(D124-H124,-1))</f>
        <v/>
      </c>
      <c r="O124">
        <f>IF(OR(E124="",G124="",E124="NA",G124="NA"),"",ROUND(E124-G124,-1))</f>
        <v/>
      </c>
      <c r="P124">
        <f>IF(OR(F124="",H124="",F124="NA",H124="NA"),"",ROUND(F124-H124,-1))</f>
        <v/>
      </c>
      <c r="Q124">
        <f>IF(OR(E124="",I124="",E124="NA",I124="NA"),"",ROUND(IF(E124&gt;I124,E124-I124,0),-1))</f>
        <v/>
      </c>
      <c r="R124">
        <f>IF(OR(F124="",J124="",F124="NA",J124="NA"),"",ROUND(IF(F124&gt;J124,F124-J124,0),-1))</f>
        <v/>
      </c>
      <c r="T124" t="inlineStr">
        <is>
          <t>No Action</t>
        </is>
      </c>
      <c r="V124" t="inlineStr">
        <is>
          <t>Y</t>
        </is>
      </c>
    </row>
    <row r="125">
      <c r="K125">
        <f>IF(OR(C125="",E125="",C125="NA",E125="NA"),"",ROUND(C125-E125,-1))</f>
        <v/>
      </c>
      <c r="L125">
        <f>IF(OR(D125="",F125="",D125="NA",F125="NA"),"",ROUND(D125-F125,-1))</f>
        <v/>
      </c>
      <c r="M125">
        <f>IF(OR(C125="",G125="",C125="NA",G125="NA"),"",ROUND(C125-G125,-1))</f>
        <v/>
      </c>
      <c r="N125">
        <f>IF(OR(D125="",H125="",D125="NA",H125="NA"),"",ROUND(D125-H125,-1))</f>
        <v/>
      </c>
      <c r="O125">
        <f>IF(OR(E125="",G125="",E125="NA",G125="NA"),"",ROUND(E125-G125,-1))</f>
        <v/>
      </c>
      <c r="P125">
        <f>IF(OR(F125="",H125="",F125="NA",H125="NA"),"",ROUND(F125-H125,-1))</f>
        <v/>
      </c>
      <c r="Q125">
        <f>IF(OR(E125="",I125="",E125="NA",I125="NA"),"",ROUND(IF(E125&gt;I125,E125-I125,0),-1))</f>
        <v/>
      </c>
      <c r="R125">
        <f>IF(OR(F125="",J125="",F125="NA",J125="NA"),"",ROUND(IF(F125&gt;J125,F125-J125,0),-1))</f>
        <v/>
      </c>
      <c r="T125" t="inlineStr">
        <is>
          <t>No Action</t>
        </is>
      </c>
      <c r="V125" t="inlineStr">
        <is>
          <t>Y</t>
        </is>
      </c>
    </row>
    <row r="126">
      <c r="K126">
        <f>IF(OR(C126="",E126="",C126="NA",E126="NA"),"",ROUND(C126-E126,-1))</f>
        <v/>
      </c>
      <c r="L126">
        <f>IF(OR(D126="",F126="",D126="NA",F126="NA"),"",ROUND(D126-F126,-1))</f>
        <v/>
      </c>
      <c r="M126">
        <f>IF(OR(C126="",G126="",C126="NA",G126="NA"),"",ROUND(C126-G126,-1))</f>
        <v/>
      </c>
      <c r="N126">
        <f>IF(OR(D126="",H126="",D126="NA",H126="NA"),"",ROUND(D126-H126,-1))</f>
        <v/>
      </c>
      <c r="O126">
        <f>IF(OR(E126="",G126="",E126="NA",G126="NA"),"",ROUND(E126-G126,-1))</f>
        <v/>
      </c>
      <c r="P126">
        <f>IF(OR(F126="",H126="",F126="NA",H126="NA"),"",ROUND(F126-H126,-1))</f>
        <v/>
      </c>
      <c r="Q126">
        <f>IF(OR(E126="",I126="",E126="NA",I126="NA"),"",ROUND(IF(E126&gt;I126,E126-I126,0),-1))</f>
        <v/>
      </c>
      <c r="R126">
        <f>IF(OR(F126="",J126="",F126="NA",J126="NA"),"",ROUND(IF(F126&gt;J126,F126-J126,0),-1))</f>
        <v/>
      </c>
      <c r="T126" t="inlineStr">
        <is>
          <t>No Action</t>
        </is>
      </c>
      <c r="V126" t="inlineStr">
        <is>
          <t>Y</t>
        </is>
      </c>
    </row>
    <row r="127">
      <c r="K127">
        <f>IF(OR(C127="",E127="",C127="NA",E127="NA"),"",ROUND(C127-E127,-1))</f>
        <v/>
      </c>
      <c r="L127">
        <f>IF(OR(D127="",F127="",D127="NA",F127="NA"),"",ROUND(D127-F127,-1))</f>
        <v/>
      </c>
      <c r="M127">
        <f>IF(OR(C127="",G127="",C127="NA",G127="NA"),"",ROUND(C127-G127,-1))</f>
        <v/>
      </c>
      <c r="N127">
        <f>IF(OR(D127="",H127="",D127="NA",H127="NA"),"",ROUND(D127-H127,-1))</f>
        <v/>
      </c>
      <c r="O127">
        <f>IF(OR(E127="",G127="",E127="NA",G127="NA"),"",ROUND(E127-G127,-1))</f>
        <v/>
      </c>
      <c r="P127">
        <f>IF(OR(F127="",H127="",F127="NA",H127="NA"),"",ROUND(F127-H127,-1))</f>
        <v/>
      </c>
      <c r="Q127">
        <f>IF(OR(E127="",I127="",E127="NA",I127="NA"),"",ROUND(IF(E127&gt;I127,E127-I127,0),-1))</f>
        <v/>
      </c>
      <c r="R127">
        <f>IF(OR(F127="",J127="",F127="NA",J127="NA"),"",ROUND(IF(F127&gt;J127,F127-J127,0),-1))</f>
        <v/>
      </c>
      <c r="T127" t="inlineStr">
        <is>
          <t>No Action</t>
        </is>
      </c>
      <c r="V127" t="inlineStr">
        <is>
          <t>Y</t>
        </is>
      </c>
    </row>
    <row r="128">
      <c r="K128">
        <f>IF(OR(C128="",E128="",C128="NA",E128="NA"),"",ROUND(C128-E128,-1))</f>
        <v/>
      </c>
      <c r="L128">
        <f>IF(OR(D128="",F128="",D128="NA",F128="NA"),"",ROUND(D128-F128,-1))</f>
        <v/>
      </c>
      <c r="M128">
        <f>IF(OR(C128="",G128="",C128="NA",G128="NA"),"",ROUND(C128-G128,-1))</f>
        <v/>
      </c>
      <c r="N128">
        <f>IF(OR(D128="",H128="",D128="NA",H128="NA"),"",ROUND(D128-H128,-1))</f>
        <v/>
      </c>
      <c r="O128">
        <f>IF(OR(E128="",G128="",E128="NA",G128="NA"),"",ROUND(E128-G128,-1))</f>
        <v/>
      </c>
      <c r="P128">
        <f>IF(OR(F128="",H128="",F128="NA",H128="NA"),"",ROUND(F128-H128,-1))</f>
        <v/>
      </c>
      <c r="Q128">
        <f>IF(OR(E128="",I128="",E128="NA",I128="NA"),"",ROUND(IF(E128&gt;I128,E128-I128,0),-1))</f>
        <v/>
      </c>
      <c r="R128">
        <f>IF(OR(F128="",J128="",F128="NA",J128="NA"),"",ROUND(IF(F128&gt;J128,F128-J128,0),-1))</f>
        <v/>
      </c>
      <c r="T128" t="inlineStr">
        <is>
          <t>No Action</t>
        </is>
      </c>
      <c r="V128" t="inlineStr">
        <is>
          <t>Y</t>
        </is>
      </c>
    </row>
    <row r="129">
      <c r="K129">
        <f>IF(OR(C129="",E129="",C129="NA",E129="NA"),"",ROUND(C129-E129,-1))</f>
        <v/>
      </c>
      <c r="L129">
        <f>IF(OR(D129="",F129="",D129="NA",F129="NA"),"",ROUND(D129-F129,-1))</f>
        <v/>
      </c>
      <c r="M129">
        <f>IF(OR(C129="",G129="",C129="NA",G129="NA"),"",ROUND(C129-G129,-1))</f>
        <v/>
      </c>
      <c r="N129">
        <f>IF(OR(D129="",H129="",D129="NA",H129="NA"),"",ROUND(D129-H129,-1))</f>
        <v/>
      </c>
      <c r="O129">
        <f>IF(OR(E129="",G129="",E129="NA",G129="NA"),"",ROUND(E129-G129,-1))</f>
        <v/>
      </c>
      <c r="P129">
        <f>IF(OR(F129="",H129="",F129="NA",H129="NA"),"",ROUND(F129-H129,-1))</f>
        <v/>
      </c>
      <c r="Q129">
        <f>IF(OR(E129="",I129="",E129="NA",I129="NA"),"",ROUND(IF(E129&gt;I129,E129-I129,0),-1))</f>
        <v/>
      </c>
      <c r="R129">
        <f>IF(OR(F129="",J129="",F129="NA",J129="NA"),"",ROUND(IF(F129&gt;J129,F129-J129,0),-1))</f>
        <v/>
      </c>
      <c r="T129" t="inlineStr">
        <is>
          <t>No Action</t>
        </is>
      </c>
      <c r="V129" t="inlineStr">
        <is>
          <t>Y</t>
        </is>
      </c>
    </row>
    <row r="130">
      <c r="K130">
        <f>IF(OR(C130="",E130="",C130="NA",E130="NA"),"",ROUND(C130-E130,-1))</f>
        <v/>
      </c>
      <c r="L130">
        <f>IF(OR(D130="",F130="",D130="NA",F130="NA"),"",ROUND(D130-F130,-1))</f>
        <v/>
      </c>
      <c r="M130">
        <f>IF(OR(C130="",G130="",C130="NA",G130="NA"),"",ROUND(C130-G130,-1))</f>
        <v/>
      </c>
      <c r="N130">
        <f>IF(OR(D130="",H130="",D130="NA",H130="NA"),"",ROUND(D130-H130,-1))</f>
        <v/>
      </c>
      <c r="O130">
        <f>IF(OR(E130="",G130="",E130="NA",G130="NA"),"",ROUND(E130-G130,-1))</f>
        <v/>
      </c>
      <c r="P130">
        <f>IF(OR(F130="",H130="",F130="NA",H130="NA"),"",ROUND(F130-H130,-1))</f>
        <v/>
      </c>
      <c r="Q130">
        <f>IF(OR(E130="",I130="",E130="NA",I130="NA"),"",ROUND(IF(E130&gt;I130,E130-I130,0),-1))</f>
        <v/>
      </c>
      <c r="R130">
        <f>IF(OR(F130="",J130="",F130="NA",J130="NA"),"",ROUND(IF(F130&gt;J130,F130-J130,0),-1))</f>
        <v/>
      </c>
      <c r="T130" t="inlineStr">
        <is>
          <t>No Action</t>
        </is>
      </c>
      <c r="V130" t="inlineStr">
        <is>
          <t>Y</t>
        </is>
      </c>
    </row>
    <row r="131">
      <c r="K131">
        <f>IF(OR(C131="",E131="",C131="NA",E131="NA"),"",ROUND(C131-E131,-1))</f>
        <v/>
      </c>
      <c r="L131">
        <f>IF(OR(D131="",F131="",D131="NA",F131="NA"),"",ROUND(D131-F131,-1))</f>
        <v/>
      </c>
      <c r="M131">
        <f>IF(OR(C131="",G131="",C131="NA",G131="NA"),"",ROUND(C131-G131,-1))</f>
        <v/>
      </c>
      <c r="N131">
        <f>IF(OR(D131="",H131="",D131="NA",H131="NA"),"",ROUND(D131-H131,-1))</f>
        <v/>
      </c>
      <c r="O131">
        <f>IF(OR(E131="",G131="",E131="NA",G131="NA"),"",ROUND(E131-G131,-1))</f>
        <v/>
      </c>
      <c r="P131">
        <f>IF(OR(F131="",H131="",F131="NA",H131="NA"),"",ROUND(F131-H131,-1))</f>
        <v/>
      </c>
      <c r="Q131">
        <f>IF(OR(E131="",I131="",E131="NA",I131="NA"),"",ROUND(IF(E131&gt;I131,E131-I131,0),-1))</f>
        <v/>
      </c>
      <c r="R131">
        <f>IF(OR(F131="",J131="",F131="NA",J131="NA"),"",ROUND(IF(F131&gt;J131,F131-J131,0),-1))</f>
        <v/>
      </c>
      <c r="T131" t="inlineStr">
        <is>
          <t>No Action</t>
        </is>
      </c>
      <c r="V131" t="inlineStr">
        <is>
          <t>Y</t>
        </is>
      </c>
    </row>
    <row r="132">
      <c r="K132">
        <f>IF(OR(C132="",E132="",C132="NA",E132="NA"),"",ROUND(C132-E132,-1))</f>
        <v/>
      </c>
      <c r="L132">
        <f>IF(OR(D132="",F132="",D132="NA",F132="NA"),"",ROUND(D132-F132,-1))</f>
        <v/>
      </c>
      <c r="M132">
        <f>IF(OR(C132="",G132="",C132="NA",G132="NA"),"",ROUND(C132-G132,-1))</f>
        <v/>
      </c>
      <c r="N132">
        <f>IF(OR(D132="",H132="",D132="NA",H132="NA"),"",ROUND(D132-H132,-1))</f>
        <v/>
      </c>
      <c r="O132">
        <f>IF(OR(E132="",G132="",E132="NA",G132="NA"),"",ROUND(E132-G132,-1))</f>
        <v/>
      </c>
      <c r="P132">
        <f>IF(OR(F132="",H132="",F132="NA",H132="NA"),"",ROUND(F132-H132,-1))</f>
        <v/>
      </c>
      <c r="Q132">
        <f>IF(OR(E132="",I132="",E132="NA",I132="NA"),"",ROUND(IF(E132&gt;I132,E132-I132,0),-1))</f>
        <v/>
      </c>
      <c r="R132">
        <f>IF(OR(F132="",J132="",F132="NA",J132="NA"),"",ROUND(IF(F132&gt;J132,F132-J132,0),-1))</f>
        <v/>
      </c>
      <c r="T132" t="inlineStr">
        <is>
          <t>No Action</t>
        </is>
      </c>
      <c r="V132" t="inlineStr">
        <is>
          <t>Y</t>
        </is>
      </c>
    </row>
    <row r="133">
      <c r="K133">
        <f>IF(OR(C133="",E133="",C133="NA",E133="NA"),"",ROUND(C133-E133,-1))</f>
        <v/>
      </c>
      <c r="L133">
        <f>IF(OR(D133="",F133="",D133="NA",F133="NA"),"",ROUND(D133-F133,-1))</f>
        <v/>
      </c>
      <c r="M133">
        <f>IF(OR(C133="",G133="",C133="NA",G133="NA"),"",ROUND(C133-G133,-1))</f>
        <v/>
      </c>
      <c r="N133">
        <f>IF(OR(D133="",H133="",D133="NA",H133="NA"),"",ROUND(D133-H133,-1))</f>
        <v/>
      </c>
      <c r="O133">
        <f>IF(OR(E133="",G133="",E133="NA",G133="NA"),"",ROUND(E133-G133,-1))</f>
        <v/>
      </c>
      <c r="P133">
        <f>IF(OR(F133="",H133="",F133="NA",H133="NA"),"",ROUND(F133-H133,-1))</f>
        <v/>
      </c>
      <c r="Q133">
        <f>IF(OR(E133="",I133="",E133="NA",I133="NA"),"",ROUND(IF(E133&gt;I133,E133-I133,0),-1))</f>
        <v/>
      </c>
      <c r="R133">
        <f>IF(OR(F133="",J133="",F133="NA",J133="NA"),"",ROUND(IF(F133&gt;J133,F133-J133,0),-1))</f>
        <v/>
      </c>
      <c r="T133" t="inlineStr">
        <is>
          <t>No Action</t>
        </is>
      </c>
      <c r="V133" t="inlineStr">
        <is>
          <t>Y</t>
        </is>
      </c>
    </row>
    <row r="134">
      <c r="K134">
        <f>IF(OR(C134="",E134="",C134="NA",E134="NA"),"",ROUND(C134-E134,-1))</f>
        <v/>
      </c>
      <c r="L134">
        <f>IF(OR(D134="",F134="",D134="NA",F134="NA"),"",ROUND(D134-F134,-1))</f>
        <v/>
      </c>
      <c r="M134">
        <f>IF(OR(C134="",G134="",C134="NA",G134="NA"),"",ROUND(C134-G134,-1))</f>
        <v/>
      </c>
      <c r="N134">
        <f>IF(OR(D134="",H134="",D134="NA",H134="NA"),"",ROUND(D134-H134,-1))</f>
        <v/>
      </c>
      <c r="O134">
        <f>IF(OR(E134="",G134="",E134="NA",G134="NA"),"",ROUND(E134-G134,-1))</f>
        <v/>
      </c>
      <c r="P134">
        <f>IF(OR(F134="",H134="",F134="NA",H134="NA"),"",ROUND(F134-H134,-1))</f>
        <v/>
      </c>
      <c r="Q134">
        <f>IF(OR(E134="",I134="",E134="NA",I134="NA"),"",ROUND(IF(E134&gt;I134,E134-I134,0),-1))</f>
        <v/>
      </c>
      <c r="R134">
        <f>IF(OR(F134="",J134="",F134="NA",J134="NA"),"",ROUND(IF(F134&gt;J134,F134-J134,0),-1))</f>
        <v/>
      </c>
      <c r="T134" t="inlineStr">
        <is>
          <t>No Action</t>
        </is>
      </c>
      <c r="V134" t="inlineStr">
        <is>
          <t>Y</t>
        </is>
      </c>
    </row>
    <row r="135">
      <c r="K135">
        <f>IF(OR(C135="",E135="",C135="NA",E135="NA"),"",ROUND(C135-E135,-1))</f>
        <v/>
      </c>
      <c r="L135">
        <f>IF(OR(D135="",F135="",D135="NA",F135="NA"),"",ROUND(D135-F135,-1))</f>
        <v/>
      </c>
      <c r="M135">
        <f>IF(OR(C135="",G135="",C135="NA",G135="NA"),"",ROUND(C135-G135,-1))</f>
        <v/>
      </c>
      <c r="N135">
        <f>IF(OR(D135="",H135="",D135="NA",H135="NA"),"",ROUND(D135-H135,-1))</f>
        <v/>
      </c>
      <c r="O135">
        <f>IF(OR(E135="",G135="",E135="NA",G135="NA"),"",ROUND(E135-G135,-1))</f>
        <v/>
      </c>
      <c r="P135">
        <f>IF(OR(F135="",H135="",F135="NA",H135="NA"),"",ROUND(F135-H135,-1))</f>
        <v/>
      </c>
      <c r="Q135">
        <f>IF(OR(E135="",I135="",E135="NA",I135="NA"),"",ROUND(IF(E135&gt;I135,E135-I135,0),-1))</f>
        <v/>
      </c>
      <c r="R135">
        <f>IF(OR(F135="",J135="",F135="NA",J135="NA"),"",ROUND(IF(F135&gt;J135,F135-J135,0),-1))</f>
        <v/>
      </c>
      <c r="T135" t="inlineStr">
        <is>
          <t>No Action</t>
        </is>
      </c>
      <c r="V135" t="inlineStr">
        <is>
          <t>Y</t>
        </is>
      </c>
    </row>
    <row r="136">
      <c r="K136">
        <f>IF(OR(C136="",E136="",C136="NA",E136="NA"),"",ROUND(C136-E136,-1))</f>
        <v/>
      </c>
      <c r="L136">
        <f>IF(OR(D136="",F136="",D136="NA",F136="NA"),"",ROUND(D136-F136,-1))</f>
        <v/>
      </c>
      <c r="M136">
        <f>IF(OR(C136="",G136="",C136="NA",G136="NA"),"",ROUND(C136-G136,-1))</f>
        <v/>
      </c>
      <c r="N136">
        <f>IF(OR(D136="",H136="",D136="NA",H136="NA"),"",ROUND(D136-H136,-1))</f>
        <v/>
      </c>
      <c r="O136">
        <f>IF(OR(E136="",G136="",E136="NA",G136="NA"),"",ROUND(E136-G136,-1))</f>
        <v/>
      </c>
      <c r="P136">
        <f>IF(OR(F136="",H136="",F136="NA",H136="NA"),"",ROUND(F136-H136,-1))</f>
        <v/>
      </c>
      <c r="Q136">
        <f>IF(OR(E136="",I136="",E136="NA",I136="NA"),"",ROUND(IF(E136&gt;I136,E136-I136,0),-1))</f>
        <v/>
      </c>
      <c r="R136">
        <f>IF(OR(F136="",J136="",F136="NA",J136="NA"),"",ROUND(IF(F136&gt;J136,F136-J136,0),-1))</f>
        <v/>
      </c>
      <c r="T136" t="inlineStr">
        <is>
          <t>No Action</t>
        </is>
      </c>
      <c r="V136" t="inlineStr">
        <is>
          <t>Y</t>
        </is>
      </c>
    </row>
    <row r="137">
      <c r="K137">
        <f>IF(OR(C137="",E137="",C137="NA",E137="NA"),"",ROUND(C137-E137,-1))</f>
        <v/>
      </c>
      <c r="L137">
        <f>IF(OR(D137="",F137="",D137="NA",F137="NA"),"",ROUND(D137-F137,-1))</f>
        <v/>
      </c>
      <c r="M137">
        <f>IF(OR(C137="",G137="",C137="NA",G137="NA"),"",ROUND(C137-G137,-1))</f>
        <v/>
      </c>
      <c r="N137">
        <f>IF(OR(D137="",H137="",D137="NA",H137="NA"),"",ROUND(D137-H137,-1))</f>
        <v/>
      </c>
      <c r="O137">
        <f>IF(OR(E137="",G137="",E137="NA",G137="NA"),"",ROUND(E137-G137,-1))</f>
        <v/>
      </c>
      <c r="P137">
        <f>IF(OR(F137="",H137="",F137="NA",H137="NA"),"",ROUND(F137-H137,-1))</f>
        <v/>
      </c>
      <c r="Q137">
        <f>IF(OR(E137="",I137="",E137="NA",I137="NA"),"",ROUND(IF(E137&gt;I137,E137-I137,0),-1))</f>
        <v/>
      </c>
      <c r="R137">
        <f>IF(OR(F137="",J137="",F137="NA",J137="NA"),"",ROUND(IF(F137&gt;J137,F137-J137,0),-1))</f>
        <v/>
      </c>
      <c r="T137" t="inlineStr">
        <is>
          <t>No Action</t>
        </is>
      </c>
      <c r="V137" t="inlineStr">
        <is>
          <t>Y</t>
        </is>
      </c>
    </row>
    <row r="138">
      <c r="K138">
        <f>IF(OR(C138="",E138="",C138="NA",E138="NA"),"",ROUND(C138-E138,-1))</f>
        <v/>
      </c>
      <c r="L138">
        <f>IF(OR(D138="",F138="",D138="NA",F138="NA"),"",ROUND(D138-F138,-1))</f>
        <v/>
      </c>
      <c r="M138">
        <f>IF(OR(C138="",G138="",C138="NA",G138="NA"),"",ROUND(C138-G138,-1))</f>
        <v/>
      </c>
      <c r="N138">
        <f>IF(OR(D138="",H138="",D138="NA",H138="NA"),"",ROUND(D138-H138,-1))</f>
        <v/>
      </c>
      <c r="O138">
        <f>IF(OR(E138="",G138="",E138="NA",G138="NA"),"",ROUND(E138-G138,-1))</f>
        <v/>
      </c>
      <c r="P138">
        <f>IF(OR(F138="",H138="",F138="NA",H138="NA"),"",ROUND(F138-H138,-1))</f>
        <v/>
      </c>
      <c r="Q138">
        <f>IF(OR(E138="",I138="",E138="NA",I138="NA"),"",ROUND(IF(E138&gt;I138,E138-I138,0),-1))</f>
        <v/>
      </c>
      <c r="R138">
        <f>IF(OR(F138="",J138="",F138="NA",J138="NA"),"",ROUND(IF(F138&gt;J138,F138-J138,0),-1))</f>
        <v/>
      </c>
      <c r="T138" t="inlineStr">
        <is>
          <t>No Action</t>
        </is>
      </c>
      <c r="V138" t="inlineStr">
        <is>
          <t>Y</t>
        </is>
      </c>
    </row>
    <row r="139">
      <c r="K139">
        <f>IF(OR(C139="",E139="",C139="NA",E139="NA"),"",ROUND(C139-E139,-1))</f>
        <v/>
      </c>
      <c r="L139">
        <f>IF(OR(D139="",F139="",D139="NA",F139="NA"),"",ROUND(D139-F139,-1))</f>
        <v/>
      </c>
      <c r="M139">
        <f>IF(OR(C139="",G139="",C139="NA",G139="NA"),"",ROUND(C139-G139,-1))</f>
        <v/>
      </c>
      <c r="N139">
        <f>IF(OR(D139="",H139="",D139="NA",H139="NA"),"",ROUND(D139-H139,-1))</f>
        <v/>
      </c>
      <c r="O139">
        <f>IF(OR(E139="",G139="",E139="NA",G139="NA"),"",ROUND(E139-G139,-1))</f>
        <v/>
      </c>
      <c r="P139">
        <f>IF(OR(F139="",H139="",F139="NA",H139="NA"),"",ROUND(F139-H139,-1))</f>
        <v/>
      </c>
      <c r="Q139">
        <f>IF(OR(E139="",I139="",E139="NA",I139="NA"),"",ROUND(IF(E139&gt;I139,E139-I139,0),-1))</f>
        <v/>
      </c>
      <c r="R139">
        <f>IF(OR(F139="",J139="",F139="NA",J139="NA"),"",ROUND(IF(F139&gt;J139,F139-J139,0),-1))</f>
        <v/>
      </c>
      <c r="T139" t="inlineStr">
        <is>
          <t>No Action</t>
        </is>
      </c>
      <c r="V139" t="inlineStr">
        <is>
          <t>Y</t>
        </is>
      </c>
    </row>
    <row r="140">
      <c r="K140">
        <f>IF(OR(C140="",E140="",C140="NA",E140="NA"),"",ROUND(C140-E140,-1))</f>
        <v/>
      </c>
      <c r="L140">
        <f>IF(OR(D140="",F140="",D140="NA",F140="NA"),"",ROUND(D140-F140,-1))</f>
        <v/>
      </c>
      <c r="M140">
        <f>IF(OR(C140="",G140="",C140="NA",G140="NA"),"",ROUND(C140-G140,-1))</f>
        <v/>
      </c>
      <c r="N140">
        <f>IF(OR(D140="",H140="",D140="NA",H140="NA"),"",ROUND(D140-H140,-1))</f>
        <v/>
      </c>
      <c r="O140">
        <f>IF(OR(E140="",G140="",E140="NA",G140="NA"),"",ROUND(E140-G140,-1))</f>
        <v/>
      </c>
      <c r="P140">
        <f>IF(OR(F140="",H140="",F140="NA",H140="NA"),"",ROUND(F140-H140,-1))</f>
        <v/>
      </c>
      <c r="Q140">
        <f>IF(OR(E140="",I140="",E140="NA",I140="NA"),"",ROUND(IF(E140&gt;I140,E140-I140,0),-1))</f>
        <v/>
      </c>
      <c r="R140">
        <f>IF(OR(F140="",J140="",F140="NA",J140="NA"),"",ROUND(IF(F140&gt;J140,F140-J140,0),-1))</f>
        <v/>
      </c>
      <c r="T140" t="inlineStr">
        <is>
          <t>No Action</t>
        </is>
      </c>
      <c r="V140" t="inlineStr">
        <is>
          <t>Y</t>
        </is>
      </c>
    </row>
    <row r="141">
      <c r="K141">
        <f>IF(OR(C141="",E141="",C141="NA",E141="NA"),"",ROUND(C141-E141,-1))</f>
        <v/>
      </c>
      <c r="L141">
        <f>IF(OR(D141="",F141="",D141="NA",F141="NA"),"",ROUND(D141-F141,-1))</f>
        <v/>
      </c>
      <c r="M141">
        <f>IF(OR(C141="",G141="",C141="NA",G141="NA"),"",ROUND(C141-G141,-1))</f>
        <v/>
      </c>
      <c r="N141">
        <f>IF(OR(D141="",H141="",D141="NA",H141="NA"),"",ROUND(D141-H141,-1))</f>
        <v/>
      </c>
      <c r="O141">
        <f>IF(OR(E141="",G141="",E141="NA",G141="NA"),"",ROUND(E141-G141,-1))</f>
        <v/>
      </c>
      <c r="P141">
        <f>IF(OR(F141="",H141="",F141="NA",H141="NA"),"",ROUND(F141-H141,-1))</f>
        <v/>
      </c>
      <c r="Q141">
        <f>IF(OR(E141="",I141="",E141="NA",I141="NA"),"",ROUND(IF(E141&gt;I141,E141-I141,0),-1))</f>
        <v/>
      </c>
      <c r="R141">
        <f>IF(OR(F141="",J141="",F141="NA",J141="NA"),"",ROUND(IF(F141&gt;J141,F141-J141,0),-1))</f>
        <v/>
      </c>
      <c r="T141" t="inlineStr">
        <is>
          <t>No Action</t>
        </is>
      </c>
      <c r="V141" t="inlineStr">
        <is>
          <t>Y</t>
        </is>
      </c>
    </row>
    <row r="142">
      <c r="K142">
        <f>IF(OR(C142="",E142="",C142="NA",E142="NA"),"",ROUND(C142-E142,-1))</f>
        <v/>
      </c>
      <c r="L142">
        <f>IF(OR(D142="",F142="",D142="NA",F142="NA"),"",ROUND(D142-F142,-1))</f>
        <v/>
      </c>
      <c r="M142">
        <f>IF(OR(C142="",G142="",C142="NA",G142="NA"),"",ROUND(C142-G142,-1))</f>
        <v/>
      </c>
      <c r="N142">
        <f>IF(OR(D142="",H142="",D142="NA",H142="NA"),"",ROUND(D142-H142,-1))</f>
        <v/>
      </c>
      <c r="O142">
        <f>IF(OR(E142="",G142="",E142="NA",G142="NA"),"",ROUND(E142-G142,-1))</f>
        <v/>
      </c>
      <c r="P142">
        <f>IF(OR(F142="",H142="",F142="NA",H142="NA"),"",ROUND(F142-H142,-1))</f>
        <v/>
      </c>
      <c r="Q142">
        <f>IF(OR(E142="",I142="",E142="NA",I142="NA"),"",ROUND(IF(E142&gt;I142,E142-I142,0),-1))</f>
        <v/>
      </c>
      <c r="R142">
        <f>IF(OR(F142="",J142="",F142="NA",J142="NA"),"",ROUND(IF(F142&gt;J142,F142-J142,0),-1))</f>
        <v/>
      </c>
      <c r="T142" t="inlineStr">
        <is>
          <t>No Action</t>
        </is>
      </c>
      <c r="V142" t="inlineStr">
        <is>
          <t>Y</t>
        </is>
      </c>
    </row>
    <row r="143">
      <c r="K143">
        <f>IF(OR(C143="",E143="",C143="NA",E143="NA"),"",ROUND(C143-E143,-1))</f>
        <v/>
      </c>
      <c r="L143">
        <f>IF(OR(D143="",F143="",D143="NA",F143="NA"),"",ROUND(D143-F143,-1))</f>
        <v/>
      </c>
      <c r="M143">
        <f>IF(OR(C143="",G143="",C143="NA",G143="NA"),"",ROUND(C143-G143,-1))</f>
        <v/>
      </c>
      <c r="N143">
        <f>IF(OR(D143="",H143="",D143="NA",H143="NA"),"",ROUND(D143-H143,-1))</f>
        <v/>
      </c>
      <c r="O143">
        <f>IF(OR(E143="",G143="",E143="NA",G143="NA"),"",ROUND(E143-G143,-1))</f>
        <v/>
      </c>
      <c r="P143">
        <f>IF(OR(F143="",H143="",F143="NA",H143="NA"),"",ROUND(F143-H143,-1))</f>
        <v/>
      </c>
      <c r="Q143">
        <f>IF(OR(E143="",I143="",E143="NA",I143="NA"),"",ROUND(IF(E143&gt;I143,E143-I143,0),-1))</f>
        <v/>
      </c>
      <c r="R143">
        <f>IF(OR(F143="",J143="",F143="NA",J143="NA"),"",ROUND(IF(F143&gt;J143,F143-J143,0),-1))</f>
        <v/>
      </c>
      <c r="T143" t="inlineStr">
        <is>
          <t>No Action</t>
        </is>
      </c>
      <c r="V143" t="inlineStr">
        <is>
          <t>Y</t>
        </is>
      </c>
    </row>
    <row r="144">
      <c r="K144">
        <f>IF(OR(C144="",E144="",C144="NA",E144="NA"),"",ROUND(C144-E144,-1))</f>
        <v/>
      </c>
      <c r="L144">
        <f>IF(OR(D144="",F144="",D144="NA",F144="NA"),"",ROUND(D144-F144,-1))</f>
        <v/>
      </c>
      <c r="M144">
        <f>IF(OR(C144="",G144="",C144="NA",G144="NA"),"",ROUND(C144-G144,-1))</f>
        <v/>
      </c>
      <c r="N144">
        <f>IF(OR(D144="",H144="",D144="NA",H144="NA"),"",ROUND(D144-H144,-1))</f>
        <v/>
      </c>
      <c r="O144">
        <f>IF(OR(E144="",G144="",E144="NA",G144="NA"),"",ROUND(E144-G144,-1))</f>
        <v/>
      </c>
      <c r="P144">
        <f>IF(OR(F144="",H144="",F144="NA",H144="NA"),"",ROUND(F144-H144,-1))</f>
        <v/>
      </c>
      <c r="Q144">
        <f>IF(OR(E144="",I144="",E144="NA",I144="NA"),"",ROUND(IF(E144&gt;I144,E144-I144,0),-1))</f>
        <v/>
      </c>
      <c r="R144">
        <f>IF(OR(F144="",J144="",F144="NA",J144="NA"),"",ROUND(IF(F144&gt;J144,F144-J144,0),-1))</f>
        <v/>
      </c>
      <c r="T144" t="inlineStr">
        <is>
          <t>No Action</t>
        </is>
      </c>
      <c r="V144" t="inlineStr">
        <is>
          <t>Y</t>
        </is>
      </c>
    </row>
    <row r="145">
      <c r="K145">
        <f>IF(OR(C145="",E145="",C145="NA",E145="NA"),"",ROUND(C145-E145,-1))</f>
        <v/>
      </c>
      <c r="L145">
        <f>IF(OR(D145="",F145="",D145="NA",F145="NA"),"",ROUND(D145-F145,-1))</f>
        <v/>
      </c>
      <c r="M145">
        <f>IF(OR(C145="",G145="",C145="NA",G145="NA"),"",ROUND(C145-G145,-1))</f>
        <v/>
      </c>
      <c r="N145">
        <f>IF(OR(D145="",H145="",D145="NA",H145="NA"),"",ROUND(D145-H145,-1))</f>
        <v/>
      </c>
      <c r="O145">
        <f>IF(OR(E145="",G145="",E145="NA",G145="NA"),"",ROUND(E145-G145,-1))</f>
        <v/>
      </c>
      <c r="P145">
        <f>IF(OR(F145="",H145="",F145="NA",H145="NA"),"",ROUND(F145-H145,-1))</f>
        <v/>
      </c>
      <c r="Q145">
        <f>IF(OR(E145="",I145="",E145="NA",I145="NA"),"",ROUND(IF(E145&gt;I145,E145-I145,0),-1))</f>
        <v/>
      </c>
      <c r="R145">
        <f>IF(OR(F145="",J145="",F145="NA",J145="NA"),"",ROUND(IF(F145&gt;J145,F145-J145,0),-1))</f>
        <v/>
      </c>
      <c r="T145" t="inlineStr">
        <is>
          <t>No Action</t>
        </is>
      </c>
      <c r="V145" t="inlineStr">
        <is>
          <t>Y</t>
        </is>
      </c>
    </row>
    <row r="146">
      <c r="K146">
        <f>IF(OR(C146="",E146="",C146="NA",E146="NA"),"",ROUND(C146-E146,-1))</f>
        <v/>
      </c>
      <c r="L146">
        <f>IF(OR(D146="",F146="",D146="NA",F146="NA"),"",ROUND(D146-F146,-1))</f>
        <v/>
      </c>
      <c r="M146">
        <f>IF(OR(C146="",G146="",C146="NA",G146="NA"),"",ROUND(C146-G146,-1))</f>
        <v/>
      </c>
      <c r="N146">
        <f>IF(OR(D146="",H146="",D146="NA",H146="NA"),"",ROUND(D146-H146,-1))</f>
        <v/>
      </c>
      <c r="O146">
        <f>IF(OR(E146="",G146="",E146="NA",G146="NA"),"",ROUND(E146-G146,-1))</f>
        <v/>
      </c>
      <c r="P146">
        <f>IF(OR(F146="",H146="",F146="NA",H146="NA"),"",ROUND(F146-H146,-1))</f>
        <v/>
      </c>
      <c r="Q146">
        <f>IF(OR(E146="",I146="",E146="NA",I146="NA"),"",ROUND(IF(E146&gt;I146,E146-I146,0),-1))</f>
        <v/>
      </c>
      <c r="R146">
        <f>IF(OR(F146="",J146="",F146="NA",J146="NA"),"",ROUND(IF(F146&gt;J146,F146-J146,0),-1))</f>
        <v/>
      </c>
      <c r="T146" t="inlineStr">
        <is>
          <t>No Action</t>
        </is>
      </c>
      <c r="V146" t="inlineStr">
        <is>
          <t>Y</t>
        </is>
      </c>
    </row>
    <row r="147">
      <c r="K147">
        <f>IF(OR(C147="",E147="",C147="NA",E147="NA"),"",ROUND(C147-E147,-1))</f>
        <v/>
      </c>
      <c r="L147">
        <f>IF(OR(D147="",F147="",D147="NA",F147="NA"),"",ROUND(D147-F147,-1))</f>
        <v/>
      </c>
      <c r="M147">
        <f>IF(OR(C147="",G147="",C147="NA",G147="NA"),"",ROUND(C147-G147,-1))</f>
        <v/>
      </c>
      <c r="N147">
        <f>IF(OR(D147="",H147="",D147="NA",H147="NA"),"",ROUND(D147-H147,-1))</f>
        <v/>
      </c>
      <c r="O147">
        <f>IF(OR(E147="",G147="",E147="NA",G147="NA"),"",ROUND(E147-G147,-1))</f>
        <v/>
      </c>
      <c r="P147">
        <f>IF(OR(F147="",H147="",F147="NA",H147="NA"),"",ROUND(F147-H147,-1))</f>
        <v/>
      </c>
      <c r="Q147">
        <f>IF(OR(E147="",I147="",E147="NA",I147="NA"),"",ROUND(IF(E147&gt;I147,E147-I147,0),-1))</f>
        <v/>
      </c>
      <c r="R147">
        <f>IF(OR(F147="",J147="",F147="NA",J147="NA"),"",ROUND(IF(F147&gt;J147,F147-J147,0),-1))</f>
        <v/>
      </c>
      <c r="T147" t="inlineStr">
        <is>
          <t>No Action</t>
        </is>
      </c>
      <c r="V147" t="inlineStr">
        <is>
          <t>Y</t>
        </is>
      </c>
    </row>
    <row r="148">
      <c r="K148">
        <f>IF(OR(C148="",E148="",C148="NA",E148="NA"),"",ROUND(C148-E148,-1))</f>
        <v/>
      </c>
      <c r="L148">
        <f>IF(OR(D148="",F148="",D148="NA",F148="NA"),"",ROUND(D148-F148,-1))</f>
        <v/>
      </c>
      <c r="M148">
        <f>IF(OR(C148="",G148="",C148="NA",G148="NA"),"",ROUND(C148-G148,-1))</f>
        <v/>
      </c>
      <c r="N148">
        <f>IF(OR(D148="",H148="",D148="NA",H148="NA"),"",ROUND(D148-H148,-1))</f>
        <v/>
      </c>
      <c r="O148">
        <f>IF(OR(E148="",G148="",E148="NA",G148="NA"),"",ROUND(E148-G148,-1))</f>
        <v/>
      </c>
      <c r="P148">
        <f>IF(OR(F148="",H148="",F148="NA",H148="NA"),"",ROUND(F148-H148,-1))</f>
        <v/>
      </c>
      <c r="Q148">
        <f>IF(OR(E148="",I148="",E148="NA",I148="NA"),"",ROUND(IF(E148&gt;I148,E148-I148,0),-1))</f>
        <v/>
      </c>
      <c r="R148">
        <f>IF(OR(F148="",J148="",F148="NA",J148="NA"),"",ROUND(IF(F148&gt;J148,F148-J148,0),-1))</f>
        <v/>
      </c>
      <c r="T148" t="inlineStr">
        <is>
          <t>No Action</t>
        </is>
      </c>
      <c r="V148" t="inlineStr">
        <is>
          <t>Y</t>
        </is>
      </c>
    </row>
    <row r="149">
      <c r="K149">
        <f>IF(OR(C149="",E149="",C149="NA",E149="NA"),"",ROUND(C149-E149,-1))</f>
        <v/>
      </c>
      <c r="L149">
        <f>IF(OR(D149="",F149="",D149="NA",F149="NA"),"",ROUND(D149-F149,-1))</f>
        <v/>
      </c>
      <c r="M149">
        <f>IF(OR(C149="",G149="",C149="NA",G149="NA"),"",ROUND(C149-G149,-1))</f>
        <v/>
      </c>
      <c r="N149">
        <f>IF(OR(D149="",H149="",D149="NA",H149="NA"),"",ROUND(D149-H149,-1))</f>
        <v/>
      </c>
      <c r="O149">
        <f>IF(OR(E149="",G149="",E149="NA",G149="NA"),"",ROUND(E149-G149,-1))</f>
        <v/>
      </c>
      <c r="P149">
        <f>IF(OR(F149="",H149="",F149="NA",H149="NA"),"",ROUND(F149-H149,-1))</f>
        <v/>
      </c>
      <c r="Q149">
        <f>IF(OR(E149="",I149="",E149="NA",I149="NA"),"",ROUND(IF(E149&gt;I149,E149-I149,0),-1))</f>
        <v/>
      </c>
      <c r="R149">
        <f>IF(OR(F149="",J149="",F149="NA",J149="NA"),"",ROUND(IF(F149&gt;J149,F149-J149,0),-1))</f>
        <v/>
      </c>
      <c r="T149" t="inlineStr">
        <is>
          <t>No Action</t>
        </is>
      </c>
      <c r="V149" t="inlineStr">
        <is>
          <t>Y</t>
        </is>
      </c>
    </row>
    <row r="150">
      <c r="K150">
        <f>IF(OR(C150="",E150="",C150="NA",E150="NA"),"",ROUND(C150-E150,-1))</f>
        <v/>
      </c>
      <c r="L150">
        <f>IF(OR(D150="",F150="",D150="NA",F150="NA"),"",ROUND(D150-F150,-1))</f>
        <v/>
      </c>
      <c r="M150">
        <f>IF(OR(C150="",G150="",C150="NA",G150="NA"),"",ROUND(C150-G150,-1))</f>
        <v/>
      </c>
      <c r="N150">
        <f>IF(OR(D150="",H150="",D150="NA",H150="NA"),"",ROUND(D150-H150,-1))</f>
        <v/>
      </c>
      <c r="O150">
        <f>IF(OR(E150="",G150="",E150="NA",G150="NA"),"",ROUND(E150-G150,-1))</f>
        <v/>
      </c>
      <c r="P150">
        <f>IF(OR(F150="",H150="",F150="NA",H150="NA"),"",ROUND(F150-H150,-1))</f>
        <v/>
      </c>
      <c r="Q150">
        <f>IF(OR(E150="",I150="",E150="NA",I150="NA"),"",ROUND(IF(E150&gt;I150,E150-I150,0),-1))</f>
        <v/>
      </c>
      <c r="R150">
        <f>IF(OR(F150="",J150="",F150="NA",J150="NA"),"",ROUND(IF(F150&gt;J150,F150-J150,0),-1))</f>
        <v/>
      </c>
      <c r="T150" t="inlineStr">
        <is>
          <t>No Action</t>
        </is>
      </c>
      <c r="V150" t="inlineStr">
        <is>
          <t>Y</t>
        </is>
      </c>
    </row>
    <row r="151">
      <c r="K151">
        <f>IF(OR(C151="",E151="",C151="NA",E151="NA"),"",ROUND(C151-E151,-1))</f>
        <v/>
      </c>
      <c r="L151">
        <f>IF(OR(D151="",F151="",D151="NA",F151="NA"),"",ROUND(D151-F151,-1))</f>
        <v/>
      </c>
      <c r="M151">
        <f>IF(OR(C151="",G151="",C151="NA",G151="NA"),"",ROUND(C151-G151,-1))</f>
        <v/>
      </c>
      <c r="N151">
        <f>IF(OR(D151="",H151="",D151="NA",H151="NA"),"",ROUND(D151-H151,-1))</f>
        <v/>
      </c>
      <c r="O151">
        <f>IF(OR(E151="",G151="",E151="NA",G151="NA"),"",ROUND(E151-G151,-1))</f>
        <v/>
      </c>
      <c r="P151">
        <f>IF(OR(F151="",H151="",F151="NA",H151="NA"),"",ROUND(F151-H151,-1))</f>
        <v/>
      </c>
      <c r="Q151">
        <f>IF(OR(E151="",I151="",E151="NA",I151="NA"),"",ROUND(IF(E151&gt;I151,E151-I151,0),-1))</f>
        <v/>
      </c>
      <c r="R151">
        <f>IF(OR(F151="",J151="",F151="NA",J151="NA"),"",ROUND(IF(F151&gt;J151,F151-J151,0),-1))</f>
        <v/>
      </c>
      <c r="T151" t="inlineStr">
        <is>
          <t>No Action</t>
        </is>
      </c>
      <c r="V151" t="inlineStr">
        <is>
          <t>Y</t>
        </is>
      </c>
    </row>
    <row r="152">
      <c r="K152">
        <f>IF(OR(C152="",E152="",C152="NA",E152="NA"),"",ROUND(C152-E152,-1))</f>
        <v/>
      </c>
      <c r="L152">
        <f>IF(OR(D152="",F152="",D152="NA",F152="NA"),"",ROUND(D152-F152,-1))</f>
        <v/>
      </c>
      <c r="M152">
        <f>IF(OR(C152="",G152="",C152="NA",G152="NA"),"",ROUND(C152-G152,-1))</f>
        <v/>
      </c>
      <c r="N152">
        <f>IF(OR(D152="",H152="",D152="NA",H152="NA"),"",ROUND(D152-H152,-1))</f>
        <v/>
      </c>
      <c r="O152">
        <f>IF(OR(E152="",G152="",E152="NA",G152="NA"),"",ROUND(E152-G152,-1))</f>
        <v/>
      </c>
      <c r="P152">
        <f>IF(OR(F152="",H152="",F152="NA",H152="NA"),"",ROUND(F152-H152,-1))</f>
        <v/>
      </c>
      <c r="Q152">
        <f>IF(OR(E152="",I152="",E152="NA",I152="NA"),"",ROUND(IF(E152&gt;I152,E152-I152,0),-1))</f>
        <v/>
      </c>
      <c r="R152">
        <f>IF(OR(F152="",J152="",F152="NA",J152="NA"),"",ROUND(IF(F152&gt;J152,F152-J152,0),-1))</f>
        <v/>
      </c>
      <c r="T152" t="inlineStr">
        <is>
          <t>No Action</t>
        </is>
      </c>
      <c r="V152" t="inlineStr">
        <is>
          <t>Y</t>
        </is>
      </c>
    </row>
    <row r="153">
      <c r="K153">
        <f>IF(OR(C153="",E153="",C153="NA",E153="NA"),"",ROUND(C153-E153,-1))</f>
        <v/>
      </c>
      <c r="L153">
        <f>IF(OR(D153="",F153="",D153="NA",F153="NA"),"",ROUND(D153-F153,-1))</f>
        <v/>
      </c>
      <c r="M153">
        <f>IF(OR(C153="",G153="",C153="NA",G153="NA"),"",ROUND(C153-G153,-1))</f>
        <v/>
      </c>
      <c r="N153">
        <f>IF(OR(D153="",H153="",D153="NA",H153="NA"),"",ROUND(D153-H153,-1))</f>
        <v/>
      </c>
      <c r="O153">
        <f>IF(OR(E153="",G153="",E153="NA",G153="NA"),"",ROUND(E153-G153,-1))</f>
        <v/>
      </c>
      <c r="P153">
        <f>IF(OR(F153="",H153="",F153="NA",H153="NA"),"",ROUND(F153-H153,-1))</f>
        <v/>
      </c>
      <c r="Q153">
        <f>IF(OR(E153="",I153="",E153="NA",I153="NA"),"",ROUND(IF(E153&gt;I153,E153-I153,0),-1))</f>
        <v/>
      </c>
      <c r="R153">
        <f>IF(OR(F153="",J153="",F153="NA",J153="NA"),"",ROUND(IF(F153&gt;J153,F153-J153,0),-1))</f>
        <v/>
      </c>
      <c r="T153" t="inlineStr">
        <is>
          <t>No Action</t>
        </is>
      </c>
      <c r="V153" t="inlineStr">
        <is>
          <t>Y</t>
        </is>
      </c>
    </row>
    <row r="154">
      <c r="K154">
        <f>IF(OR(C154="",E154="",C154="NA",E154="NA"),"",ROUND(C154-E154,-1))</f>
        <v/>
      </c>
      <c r="L154">
        <f>IF(OR(D154="",F154="",D154="NA",F154="NA"),"",ROUND(D154-F154,-1))</f>
        <v/>
      </c>
      <c r="M154">
        <f>IF(OR(C154="",G154="",C154="NA",G154="NA"),"",ROUND(C154-G154,-1))</f>
        <v/>
      </c>
      <c r="N154">
        <f>IF(OR(D154="",H154="",D154="NA",H154="NA"),"",ROUND(D154-H154,-1))</f>
        <v/>
      </c>
      <c r="O154">
        <f>IF(OR(E154="",G154="",E154="NA",G154="NA"),"",ROUND(E154-G154,-1))</f>
        <v/>
      </c>
      <c r="P154">
        <f>IF(OR(F154="",H154="",F154="NA",H154="NA"),"",ROUND(F154-H154,-1))</f>
        <v/>
      </c>
      <c r="Q154">
        <f>IF(OR(E154="",I154="",E154="NA",I154="NA"),"",ROUND(IF(E154&gt;I154,E154-I154,0),-1))</f>
        <v/>
      </c>
      <c r="R154">
        <f>IF(OR(F154="",J154="",F154="NA",J154="NA"),"",ROUND(IF(F154&gt;J154,F154-J154,0),-1))</f>
        <v/>
      </c>
      <c r="T154" t="inlineStr">
        <is>
          <t>No Action</t>
        </is>
      </c>
      <c r="V154" t="inlineStr">
        <is>
          <t>Y</t>
        </is>
      </c>
    </row>
    <row r="155">
      <c r="K155">
        <f>IF(OR(C155="",E155="",C155="NA",E155="NA"),"",ROUND(C155-E155,-1))</f>
        <v/>
      </c>
      <c r="L155">
        <f>IF(OR(D155="",F155="",D155="NA",F155="NA"),"",ROUND(D155-F155,-1))</f>
        <v/>
      </c>
      <c r="M155">
        <f>IF(OR(C155="",G155="",C155="NA",G155="NA"),"",ROUND(C155-G155,-1))</f>
        <v/>
      </c>
      <c r="N155">
        <f>IF(OR(D155="",H155="",D155="NA",H155="NA"),"",ROUND(D155-H155,-1))</f>
        <v/>
      </c>
      <c r="O155">
        <f>IF(OR(E155="",G155="",E155="NA",G155="NA"),"",ROUND(E155-G155,-1))</f>
        <v/>
      </c>
      <c r="P155">
        <f>IF(OR(F155="",H155="",F155="NA",H155="NA"),"",ROUND(F155-H155,-1))</f>
        <v/>
      </c>
      <c r="Q155">
        <f>IF(OR(E155="",I155="",E155="NA",I155="NA"),"",ROUND(IF(E155&gt;I155,E155-I155,0),-1))</f>
        <v/>
      </c>
      <c r="R155">
        <f>IF(OR(F155="",J155="",F155="NA",J155="NA"),"",ROUND(IF(F155&gt;J155,F155-J155,0),-1))</f>
        <v/>
      </c>
      <c r="T155" t="inlineStr">
        <is>
          <t>No Action</t>
        </is>
      </c>
      <c r="V155" t="inlineStr">
        <is>
          <t>Y</t>
        </is>
      </c>
    </row>
    <row r="156">
      <c r="K156">
        <f>IF(OR(C156="",E156="",C156="NA",E156="NA"),"",ROUND(C156-E156,-1))</f>
        <v/>
      </c>
      <c r="L156">
        <f>IF(OR(D156="",F156="",D156="NA",F156="NA"),"",ROUND(D156-F156,-1))</f>
        <v/>
      </c>
      <c r="M156">
        <f>IF(OR(C156="",G156="",C156="NA",G156="NA"),"",ROUND(C156-G156,-1))</f>
        <v/>
      </c>
      <c r="N156">
        <f>IF(OR(D156="",H156="",D156="NA",H156="NA"),"",ROUND(D156-H156,-1))</f>
        <v/>
      </c>
      <c r="O156">
        <f>IF(OR(E156="",G156="",E156="NA",G156="NA"),"",ROUND(E156-G156,-1))</f>
        <v/>
      </c>
      <c r="P156">
        <f>IF(OR(F156="",H156="",F156="NA",H156="NA"),"",ROUND(F156-H156,-1))</f>
        <v/>
      </c>
      <c r="Q156">
        <f>IF(OR(E156="",I156="",E156="NA",I156="NA"),"",ROUND(IF(E156&gt;I156,E156-I156,0),-1))</f>
        <v/>
      </c>
      <c r="R156">
        <f>IF(OR(F156="",J156="",F156="NA",J156="NA"),"",ROUND(IF(F156&gt;J156,F156-J156,0),-1))</f>
        <v/>
      </c>
      <c r="T156" t="inlineStr">
        <is>
          <t>No Action</t>
        </is>
      </c>
      <c r="V156" t="inlineStr">
        <is>
          <t>Y</t>
        </is>
      </c>
    </row>
    <row r="157">
      <c r="K157">
        <f>IF(OR(C157="",E157="",C157="NA",E157="NA"),"",ROUND(C157-E157,-1))</f>
        <v/>
      </c>
      <c r="L157">
        <f>IF(OR(D157="",F157="",D157="NA",F157="NA"),"",ROUND(D157-F157,-1))</f>
        <v/>
      </c>
      <c r="M157">
        <f>IF(OR(C157="",G157="",C157="NA",G157="NA"),"",ROUND(C157-G157,-1))</f>
        <v/>
      </c>
      <c r="N157">
        <f>IF(OR(D157="",H157="",D157="NA",H157="NA"),"",ROUND(D157-H157,-1))</f>
        <v/>
      </c>
      <c r="O157">
        <f>IF(OR(E157="",G157="",E157="NA",G157="NA"),"",ROUND(E157-G157,-1))</f>
        <v/>
      </c>
      <c r="P157">
        <f>IF(OR(F157="",H157="",F157="NA",H157="NA"),"",ROUND(F157-H157,-1))</f>
        <v/>
      </c>
      <c r="Q157">
        <f>IF(OR(E157="",I157="",E157="NA",I157="NA"),"",ROUND(IF(E157&gt;I157,E157-I157,0),-1))</f>
        <v/>
      </c>
      <c r="R157">
        <f>IF(OR(F157="",J157="",F157="NA",J157="NA"),"",ROUND(IF(F157&gt;J157,F157-J157,0),-1))</f>
        <v/>
      </c>
      <c r="T157" t="inlineStr">
        <is>
          <t>No Action</t>
        </is>
      </c>
      <c r="V157" t="inlineStr">
        <is>
          <t>Y</t>
        </is>
      </c>
    </row>
    <row r="158">
      <c r="K158">
        <f>IF(OR(C158="",E158="",C158="NA",E158="NA"),"",ROUND(C158-E158,-1))</f>
        <v/>
      </c>
      <c r="L158">
        <f>IF(OR(D158="",F158="",D158="NA",F158="NA"),"",ROUND(D158-F158,-1))</f>
        <v/>
      </c>
      <c r="M158">
        <f>IF(OR(C158="",G158="",C158="NA",G158="NA"),"",ROUND(C158-G158,-1))</f>
        <v/>
      </c>
      <c r="N158">
        <f>IF(OR(D158="",H158="",D158="NA",H158="NA"),"",ROUND(D158-H158,-1))</f>
        <v/>
      </c>
      <c r="O158">
        <f>IF(OR(E158="",G158="",E158="NA",G158="NA"),"",ROUND(E158-G158,-1))</f>
        <v/>
      </c>
      <c r="P158">
        <f>IF(OR(F158="",H158="",F158="NA",H158="NA"),"",ROUND(F158-H158,-1))</f>
        <v/>
      </c>
      <c r="Q158">
        <f>IF(OR(E158="",I158="",E158="NA",I158="NA"),"",ROUND(IF(E158&gt;I158,E158-I158,0),-1))</f>
        <v/>
      </c>
      <c r="R158">
        <f>IF(OR(F158="",J158="",F158="NA",J158="NA"),"",ROUND(IF(F158&gt;J158,F158-J158,0),-1))</f>
        <v/>
      </c>
      <c r="T158" t="inlineStr">
        <is>
          <t>No Action</t>
        </is>
      </c>
      <c r="V158" t="inlineStr">
        <is>
          <t>Y</t>
        </is>
      </c>
    </row>
    <row r="159">
      <c r="K159">
        <f>IF(OR(C159="",E159="",C159="NA",E159="NA"),"",ROUND(C159-E159,-1))</f>
        <v/>
      </c>
      <c r="L159">
        <f>IF(OR(D159="",F159="",D159="NA",F159="NA"),"",ROUND(D159-F159,-1))</f>
        <v/>
      </c>
      <c r="M159">
        <f>IF(OR(C159="",G159="",C159="NA",G159="NA"),"",ROUND(C159-G159,-1))</f>
        <v/>
      </c>
      <c r="N159">
        <f>IF(OR(D159="",H159="",D159="NA",H159="NA"),"",ROUND(D159-H159,-1))</f>
        <v/>
      </c>
      <c r="O159">
        <f>IF(OR(E159="",G159="",E159="NA",G159="NA"),"",ROUND(E159-G159,-1))</f>
        <v/>
      </c>
      <c r="P159">
        <f>IF(OR(F159="",H159="",F159="NA",H159="NA"),"",ROUND(F159-H159,-1))</f>
        <v/>
      </c>
      <c r="Q159">
        <f>IF(OR(E159="",I159="",E159="NA",I159="NA"),"",ROUND(IF(E159&gt;I159,E159-I159,0),-1))</f>
        <v/>
      </c>
      <c r="R159">
        <f>IF(OR(F159="",J159="",F159="NA",J159="NA"),"",ROUND(IF(F159&gt;J159,F159-J159,0),-1))</f>
        <v/>
      </c>
      <c r="T159" t="inlineStr">
        <is>
          <t>No Action</t>
        </is>
      </c>
      <c r="V159" t="inlineStr">
        <is>
          <t>Y</t>
        </is>
      </c>
    </row>
    <row r="160">
      <c r="K160">
        <f>IF(OR(C160="",E160="",C160="NA",E160="NA"),"",ROUND(C160-E160,-1))</f>
        <v/>
      </c>
      <c r="L160">
        <f>IF(OR(D160="",F160="",D160="NA",F160="NA"),"",ROUND(D160-F160,-1))</f>
        <v/>
      </c>
      <c r="M160">
        <f>IF(OR(C160="",G160="",C160="NA",G160="NA"),"",ROUND(C160-G160,-1))</f>
        <v/>
      </c>
      <c r="N160">
        <f>IF(OR(D160="",H160="",D160="NA",H160="NA"),"",ROUND(D160-H160,-1))</f>
        <v/>
      </c>
      <c r="O160">
        <f>IF(OR(E160="",G160="",E160="NA",G160="NA"),"",ROUND(E160-G160,-1))</f>
        <v/>
      </c>
      <c r="P160">
        <f>IF(OR(F160="",H160="",F160="NA",H160="NA"),"",ROUND(F160-H160,-1))</f>
        <v/>
      </c>
      <c r="Q160">
        <f>IF(OR(E160="",I160="",E160="NA",I160="NA"),"",ROUND(IF(E160&gt;I160,E160-I160,0),-1))</f>
        <v/>
      </c>
      <c r="R160">
        <f>IF(OR(F160="",J160="",F160="NA",J160="NA"),"",ROUND(IF(F160&gt;J160,F160-J160,0),-1))</f>
        <v/>
      </c>
      <c r="T160" t="inlineStr">
        <is>
          <t>No Action</t>
        </is>
      </c>
      <c r="V160" t="inlineStr">
        <is>
          <t>Y</t>
        </is>
      </c>
    </row>
    <row r="161">
      <c r="K161">
        <f>IF(OR(C161="",E161="",C161="NA",E161="NA"),"",ROUND(C161-E161,-1))</f>
        <v/>
      </c>
      <c r="L161">
        <f>IF(OR(D161="",F161="",D161="NA",F161="NA"),"",ROUND(D161-F161,-1))</f>
        <v/>
      </c>
      <c r="M161">
        <f>IF(OR(C161="",G161="",C161="NA",G161="NA"),"",ROUND(C161-G161,-1))</f>
        <v/>
      </c>
      <c r="N161">
        <f>IF(OR(D161="",H161="",D161="NA",H161="NA"),"",ROUND(D161-H161,-1))</f>
        <v/>
      </c>
      <c r="O161">
        <f>IF(OR(E161="",G161="",E161="NA",G161="NA"),"",ROUND(E161-G161,-1))</f>
        <v/>
      </c>
      <c r="P161">
        <f>IF(OR(F161="",H161="",F161="NA",H161="NA"),"",ROUND(F161-H161,-1))</f>
        <v/>
      </c>
      <c r="Q161">
        <f>IF(OR(E161="",I161="",E161="NA",I161="NA"),"",ROUND(IF(E161&gt;I161,E161-I161,0),-1))</f>
        <v/>
      </c>
      <c r="R161">
        <f>IF(OR(F161="",J161="",F161="NA",J161="NA"),"",ROUND(IF(F161&gt;J161,F161-J161,0),-1))</f>
        <v/>
      </c>
      <c r="T161" t="inlineStr">
        <is>
          <t>No Action</t>
        </is>
      </c>
      <c r="V161" t="inlineStr">
        <is>
          <t>Y</t>
        </is>
      </c>
    </row>
  </sheetData>
  <mergeCells count="18">
    <mergeCell ref="B5:D5"/>
    <mergeCell ref="K11:L11"/>
    <mergeCell ref="S10:S11"/>
    <mergeCell ref="C10:D10"/>
    <mergeCell ref="M11:N11"/>
    <mergeCell ref="E10:F10"/>
    <mergeCell ref="O11:P11"/>
    <mergeCell ref="I10:J10"/>
    <mergeCell ref="B8:D8"/>
    <mergeCell ref="G10:H10"/>
    <mergeCell ref="Q11:R11"/>
    <mergeCell ref="A10:A11"/>
    <mergeCell ref="K10:R10"/>
    <mergeCell ref="T10:T11"/>
    <mergeCell ref="B10:B11"/>
    <mergeCell ref="B7:D7"/>
    <mergeCell ref="B6:D6"/>
    <mergeCell ref="U10:U11"/>
  </mergeCells>
  <conditionalFormatting sqref="B12:B94">
    <cfRule type="duplicateValues" priority="2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ColWidth="8.6640625" defaultRowHeight="14.39999961853027"/>
  <cols>
    <col width="29.6640625" customWidth="1" style="3" min="1" max="1"/>
    <col width="24.33203125" customWidth="1" style="3" min="2" max="2"/>
    <col width="20.44140625" customWidth="1" style="3" min="3" max="3"/>
    <col width="25.88671875" customWidth="1" style="3" min="4" max="4"/>
    <col width="22.33203125" customWidth="1" style="3" min="5" max="5"/>
    <col width="20.88671875" customWidth="1" style="3" min="6" max="6"/>
    <col width="20" customWidth="1" style="3" min="7" max="7"/>
    <col width="23.88671875" customWidth="1" style="3" min="8" max="9"/>
    <col width="14.6640625" customWidth="1" style="3" min="10" max="10"/>
    <col width="15.44140625" customWidth="1" style="3" min="11" max="11"/>
    <col width="16.88671875" customWidth="1" style="3" min="12" max="12"/>
    <col width="16.109375" customWidth="1" style="3" min="13" max="13"/>
    <col width="17" customWidth="1" style="3" min="14" max="14"/>
    <col width="17.109375" customWidth="1" style="3" min="15" max="15"/>
    <col width="19.33203125" customWidth="1" style="3" min="16" max="16"/>
    <col width="18.109375" customWidth="1" style="3" min="17" max="17"/>
  </cols>
  <sheetData>
    <row r="1" ht="19.5" customHeight="1" s="3">
      <c r="A1" s="4" t="inlineStr">
        <is>
          <t>PAVAN JAIN S AND CO |CHARTERED ACCOUNTANTS</t>
        </is>
      </c>
      <c r="B1" s="4" t="n"/>
      <c r="C1" s="4" t="n"/>
      <c r="D1" s="4" t="n"/>
    </row>
    <row r="2" ht="15.75" customHeight="1" s="3"/>
    <row r="3" ht="21" customHeight="1" s="3">
      <c r="A3" s="5" t="inlineStr">
        <is>
          <t>AIS/TIS/26AS/BOOKS COMPARATIVE SUMMARY</t>
        </is>
      </c>
      <c r="B3" s="6" t="n"/>
      <c r="C3" s="7" t="n"/>
    </row>
    <row r="4" ht="16.5" customHeight="1" s="3"/>
    <row r="5" ht="15.75" customHeight="1" s="3">
      <c r="A5" s="8" t="inlineStr">
        <is>
          <t>NAME OF THE CLIENT</t>
        </is>
      </c>
      <c r="B5" s="54" t="n"/>
      <c r="C5" s="56" t="n"/>
      <c r="D5" s="57" t="n"/>
    </row>
    <row r="6" ht="15.75" customHeight="1" s="3">
      <c r="A6" s="9" t="inlineStr">
        <is>
          <t>ASSESSMENT YEAR</t>
        </is>
      </c>
      <c r="B6" s="54" t="n"/>
      <c r="C6" s="56" t="n"/>
      <c r="D6" s="57" t="n"/>
    </row>
    <row r="7" ht="15.75" customHeight="1" s="3">
      <c r="A7" s="9" t="inlineStr">
        <is>
          <t>FINANCIAL YEAR</t>
        </is>
      </c>
      <c r="B7" s="54" t="n"/>
      <c r="C7" s="56" t="n"/>
      <c r="D7" s="57" t="n"/>
    </row>
    <row r="8" ht="15.75" customHeight="1" s="3">
      <c r="A8" s="9" t="inlineStr">
        <is>
          <t>PREPARED BY</t>
        </is>
      </c>
      <c r="B8" s="54" t="n"/>
      <c r="C8" s="56" t="n"/>
      <c r="D8" s="57" t="n"/>
    </row>
    <row r="10" ht="15.75" customHeight="1" s="3"/>
    <row r="11" ht="15.75" customHeight="1" s="3">
      <c r="A11" s="55" t="inlineStr">
        <is>
          <t>Nature of Transactions</t>
        </is>
      </c>
      <c r="B11" s="48" t="inlineStr">
        <is>
          <t>26AS</t>
        </is>
      </c>
      <c r="C11" s="57" t="n"/>
      <c r="D11" s="48" t="inlineStr">
        <is>
          <t>AIS</t>
        </is>
      </c>
      <c r="E11" s="57" t="n"/>
      <c r="F11" s="48" t="inlineStr">
        <is>
          <t>TIS</t>
        </is>
      </c>
      <c r="G11" s="57" t="n"/>
      <c r="H11" s="48" t="inlineStr">
        <is>
          <t>Books</t>
        </is>
      </c>
      <c r="I11" s="57" t="n"/>
      <c r="J11" s="50" t="inlineStr">
        <is>
          <t>Difference</t>
        </is>
      </c>
      <c r="K11" s="56" t="n"/>
      <c r="L11" s="56" t="n"/>
      <c r="M11" s="56" t="n"/>
      <c r="N11" s="56" t="n"/>
      <c r="O11" s="56" t="n"/>
      <c r="P11" s="56" t="n"/>
      <c r="Q11" s="57" t="n"/>
    </row>
    <row r="12" ht="15.75" customHeight="1" s="3">
      <c r="A12" s="60" t="n"/>
      <c r="B12" s="53" t="inlineStr">
        <is>
          <t>Gross Value</t>
        </is>
      </c>
      <c r="C12" s="53" t="inlineStr">
        <is>
          <t>TDS/TCS</t>
        </is>
      </c>
      <c r="D12" s="53" t="inlineStr">
        <is>
          <t>Gross Value</t>
        </is>
      </c>
      <c r="E12" s="53" t="inlineStr">
        <is>
          <t>TDS/TCS</t>
        </is>
      </c>
      <c r="F12" s="53" t="inlineStr">
        <is>
          <t>Gross Value</t>
        </is>
      </c>
      <c r="G12" s="53" t="inlineStr">
        <is>
          <t>TDS/TCS</t>
        </is>
      </c>
      <c r="H12" s="53" t="inlineStr">
        <is>
          <t>Gross Value</t>
        </is>
      </c>
      <c r="I12" s="53" t="inlineStr">
        <is>
          <t>TDS/TCS</t>
        </is>
      </c>
      <c r="J12" s="53" t="inlineStr">
        <is>
          <t>26AS/AIS</t>
        </is>
      </c>
      <c r="K12" s="58" t="n"/>
      <c r="L12" s="53" t="inlineStr">
        <is>
          <t>26AS/TIS</t>
        </is>
      </c>
      <c r="M12" s="58" t="n"/>
      <c r="N12" s="53" t="inlineStr">
        <is>
          <t>AIS/TIS</t>
        </is>
      </c>
      <c r="O12" s="58" t="n"/>
      <c r="P12" s="53" t="inlineStr">
        <is>
          <t>Books/TIS</t>
        </is>
      </c>
      <c r="Q12" s="58" t="n"/>
    </row>
    <row r="13" ht="15.75" customHeight="1" s="3">
      <c r="A13" s="38">
        <f>Masters!C2</f>
        <v/>
      </c>
      <c r="B13" s="39">
        <f>SUMIFS(Reco!$C$12:$C$161,Reco!$A$12:$A$161,$A13,Reco!$V$12:$V$161,"Y")</f>
        <v/>
      </c>
      <c r="C13" s="39">
        <f>SUMIFS(Reco!$D$12:$D$161,Reco!$A$12:$A$161,$A13,Reco!$V$12:$V$161,"Y")</f>
        <v/>
      </c>
      <c r="D13" s="39">
        <f>SUMIFS(Reco!$E$12:$E$161,Reco!$A$12:$A$161,$A13,Reco!$V$12:$V$161,"Y")</f>
        <v/>
      </c>
      <c r="E13" s="39">
        <f>SUMIFS(Reco!$F$12:$F$161,Reco!$A$12:$A$161,$A13,Reco!$V$12:$V$161,"Y")</f>
        <v/>
      </c>
      <c r="F13" s="39">
        <f>SUMIFS(Reco!$G$12:$G$161,Reco!$A$12:$A$161,$A13,Reco!$V$12:$V$161,"Y")</f>
        <v/>
      </c>
      <c r="G13" s="39">
        <f>SUMIFS(Reco!$H$12:$H$161,Reco!$A$12:$A$161,$A13,Reco!$V$12:$V$161,"Y")</f>
        <v/>
      </c>
      <c r="H13" s="39">
        <f>SUMIFS(Reco!$I$12:$I$161,Reco!$A$12:$A$161,$A13,Reco!$V$12:$V$161,"Y")</f>
        <v/>
      </c>
      <c r="I13" s="40">
        <f>SUMIFS(Reco!$J$12:$J$161,Reco!$A$12:$A$161,$A13,Reco!$V$12:$V$161,"Y")</f>
        <v/>
      </c>
      <c r="J13" s="39">
        <f>IF(OR(B13="",D13=""),"",ROUND(B13-D13,-1))</f>
        <v/>
      </c>
      <c r="K13" s="39">
        <f>IF(OR(C13="",E13=""),"",ROUND(C13-E13,-1))</f>
        <v/>
      </c>
      <c r="L13" s="39">
        <f>IF(OR(B13="",F13=""),"",ROUND(B13-F13,-1))</f>
        <v/>
      </c>
      <c r="M13" s="39">
        <f>IF(OR(C13="",G13=""),"",ROUND(C13-G13,-1))</f>
        <v/>
      </c>
      <c r="N13" s="39">
        <f>IF(OR(D13="",F13=""),"",ROUND(D13-F13,-1))</f>
        <v/>
      </c>
      <c r="O13" s="39">
        <f>IF(OR(E13="",G13=""),"",ROUND(E13-G13,-1))</f>
        <v/>
      </c>
      <c r="P13" s="39">
        <f>IF(OR(F13="",H13=""),"",ROUND(F13-H13,-1))</f>
        <v/>
      </c>
      <c r="Q13" s="39">
        <f>IF(OR(I13="",G13=""),"",ROUND(G13-I13,-1))</f>
        <v/>
      </c>
    </row>
    <row r="14" ht="15.75" customHeight="1" s="3">
      <c r="A14" s="38">
        <f>Masters!C3</f>
        <v/>
      </c>
      <c r="B14" s="39">
        <f>SUMIFS(Reco!$C$12:$C$161,Reco!$A$12:$A$161,$A14,Reco!$V$12:$V$161,"Y")</f>
        <v/>
      </c>
      <c r="C14" s="39">
        <f>SUMIFS(Reco!$D$12:$D$161,Reco!$A$12:$A$161,$A14,Reco!$V$12:$V$161,"Y")</f>
        <v/>
      </c>
      <c r="D14" s="39">
        <f>SUMIFS(Reco!$E$12:$E$161,Reco!$A$12:$A$161,$A14,Reco!$V$12:$V$161,"Y")</f>
        <v/>
      </c>
      <c r="E14" s="39">
        <f>SUMIFS(Reco!$F$12:$F$161,Reco!$A$12:$A$161,$A14,Reco!$V$12:$V$161,"Y")</f>
        <v/>
      </c>
      <c r="F14" s="39">
        <f>SUMIFS(Reco!$G$12:$G$161,Reco!$A$12:$A$161,$A14,Reco!$V$12:$V$161,"Y")</f>
        <v/>
      </c>
      <c r="G14" s="39">
        <f>SUMIFS(Reco!$H$12:$H$161,Reco!$A$12:$A$161,$A14,Reco!$V$12:$V$161,"Y")</f>
        <v/>
      </c>
      <c r="H14" s="39">
        <f>SUMIFS(Reco!$I$12:$I$161,Reco!$A$12:$A$161,$A14,Reco!$V$12:$V$161,"Y")</f>
        <v/>
      </c>
      <c r="I14" s="40">
        <f>SUMIFS(Reco!$J$12:$J$161,Reco!$A$12:$A$161,$A14,Reco!$V$12:$V$161,"Y")</f>
        <v/>
      </c>
      <c r="J14" s="39">
        <f>IF(OR(B14="",D14=""),"",ROUND(B14-D14,-1))</f>
        <v/>
      </c>
      <c r="K14" s="39">
        <f>IF(OR(C14="",E14=""),"",ROUND(C14-E14,-1))</f>
        <v/>
      </c>
      <c r="L14" s="39">
        <f>IF(OR(B14="",F14=""),"",ROUND(B14-F14,-1))</f>
        <v/>
      </c>
      <c r="M14" s="39">
        <f>IF(OR(C14="",G14=""),"",ROUND(C14-G14,-1))</f>
        <v/>
      </c>
      <c r="N14" s="39">
        <f>IF(OR(D14="",F14=""),"",ROUND(D14-F14,-1))</f>
        <v/>
      </c>
      <c r="O14" s="39">
        <f>IF(OR(E14="",G14=""),"",ROUND(E14-G14,-1))</f>
        <v/>
      </c>
      <c r="P14" s="39">
        <f>IF(OR(F14="",H14=""),"",ROUND(F14-H14,-1))</f>
        <v/>
      </c>
      <c r="Q14" s="39">
        <f>IF(OR(I14="",G14=""),"",ROUND(G14-I14,-1))</f>
        <v/>
      </c>
    </row>
    <row r="15" ht="15.75" customHeight="1" s="3">
      <c r="A15" s="38">
        <f>Masters!C4</f>
        <v/>
      </c>
      <c r="B15" s="39">
        <f>SUMIFS(Reco!$C$12:$C$161,Reco!$A$12:$A$161,$A15,Reco!$V$12:$V$161,"Y")</f>
        <v/>
      </c>
      <c r="C15" s="39">
        <f>SUMIFS(Reco!$D$12:$D$161,Reco!$A$12:$A$161,$A15,Reco!$V$12:$V$161,"Y")</f>
        <v/>
      </c>
      <c r="D15" s="39">
        <f>SUMIFS(Reco!$E$12:$E$161,Reco!$A$12:$A$161,$A15,Reco!$V$12:$V$161,"Y")</f>
        <v/>
      </c>
      <c r="E15" s="39">
        <f>SUMIFS(Reco!$F$12:$F$161,Reco!$A$12:$A$161,$A15,Reco!$V$12:$V$161,"Y")</f>
        <v/>
      </c>
      <c r="F15" s="39">
        <f>SUMIFS(Reco!$G$12:$G$161,Reco!$A$12:$A$161,$A15,Reco!$V$12:$V$161,"Y")</f>
        <v/>
      </c>
      <c r="G15" s="39">
        <f>SUMIFS(Reco!$H$12:$H$161,Reco!$A$12:$A$161,$A15,Reco!$V$12:$V$161,"Y")</f>
        <v/>
      </c>
      <c r="H15" s="39">
        <f>SUMIFS(Reco!$I$12:$I$161,Reco!$A$12:$A$161,$A15,Reco!$V$12:$V$161,"Y")</f>
        <v/>
      </c>
      <c r="I15" s="40">
        <f>SUMIFS(Reco!$J$12:$J$161,Reco!$A$12:$A$161,$A15,Reco!$V$12:$V$161,"Y")</f>
        <v/>
      </c>
      <c r="J15" s="39">
        <f>IF(OR(B15="",D15=""),"",ROUND(B15-D15,-1))</f>
        <v/>
      </c>
      <c r="K15" s="39">
        <f>IF(OR(C15="",E15=""),"",ROUND(C15-E15,-1))</f>
        <v/>
      </c>
      <c r="L15" s="39">
        <f>IF(OR(B15="",F15=""),"",ROUND(B15-F15,-1))</f>
        <v/>
      </c>
      <c r="M15" s="39">
        <f>IF(OR(C15="",G15=""),"",ROUND(C15-G15,-1))</f>
        <v/>
      </c>
      <c r="N15" s="39">
        <f>IF(OR(D15="",F15=""),"",ROUND(D15-F15,-1))</f>
        <v/>
      </c>
      <c r="O15" s="39">
        <f>IF(OR(E15="",G15=""),"",ROUND(E15-G15,-1))</f>
        <v/>
      </c>
      <c r="P15" s="39">
        <f>IF(OR(F15="",H15=""),"",ROUND(F15-H15,-1))</f>
        <v/>
      </c>
      <c r="Q15" s="39">
        <f>IF(OR(I15="",G15=""),"",ROUND(G15-I15,-1))</f>
        <v/>
      </c>
    </row>
    <row r="16" ht="15.75" customHeight="1" s="3">
      <c r="A16" s="38">
        <f>Masters!C5</f>
        <v/>
      </c>
      <c r="B16" s="39">
        <f>SUMIFS(Reco!$C$12:$C$161,Reco!$A$12:$A$161,$A16,Reco!$V$12:$V$161,"Y")</f>
        <v/>
      </c>
      <c r="C16" s="39">
        <f>SUMIFS(Reco!$D$12:$D$161,Reco!$A$12:$A$161,$A16,Reco!$V$12:$V$161,"Y")</f>
        <v/>
      </c>
      <c r="D16" s="39">
        <f>SUMIFS(Reco!$E$12:$E$161,Reco!$A$12:$A$161,$A16,Reco!$V$12:$V$161,"Y")</f>
        <v/>
      </c>
      <c r="E16" s="39">
        <f>SUMIFS(Reco!$F$12:$F$161,Reco!$A$12:$A$161,$A16,Reco!$V$12:$V$161,"Y")</f>
        <v/>
      </c>
      <c r="F16" s="39">
        <f>SUMIFS(Reco!$G$12:$G$161,Reco!$A$12:$A$161,$A16,Reco!$V$12:$V$161,"Y")</f>
        <v/>
      </c>
      <c r="G16" s="39">
        <f>SUMIFS(Reco!$H$12:$H$161,Reco!$A$12:$A$161,$A16,Reco!$V$12:$V$161,"Y")</f>
        <v/>
      </c>
      <c r="H16" s="39">
        <f>SUMIFS(Reco!$I$12:$I$161,Reco!$A$12:$A$161,$A16,Reco!$V$12:$V$161,"Y")</f>
        <v/>
      </c>
      <c r="I16" s="40">
        <f>SUMIFS(Reco!$J$12:$J$161,Reco!$A$12:$A$161,$A16,Reco!$V$12:$V$161,"Y")</f>
        <v/>
      </c>
      <c r="J16" s="39">
        <f>IF(OR(B16="",D16=""),"",ROUND(B16-D16,-1))</f>
        <v/>
      </c>
      <c r="K16" s="39">
        <f>IF(OR(C16="",E16=""),"",ROUND(C16-E16,-1))</f>
        <v/>
      </c>
      <c r="L16" s="39">
        <f>IF(OR(B16="",F16=""),"",ROUND(B16-F16,-1))</f>
        <v/>
      </c>
      <c r="M16" s="39">
        <f>IF(OR(C16="",G16=""),"",ROUND(C16-G16,-1))</f>
        <v/>
      </c>
      <c r="N16" s="39">
        <f>IF(OR(D16="",F16=""),"",ROUND(D16-F16,-1))</f>
        <v/>
      </c>
      <c r="O16" s="39">
        <f>IF(OR(E16="",G16=""),"",ROUND(E16-G16,-1))</f>
        <v/>
      </c>
      <c r="P16" s="39">
        <f>IF(OR(F16="",H16=""),"",ROUND(F16-H16,-1))</f>
        <v/>
      </c>
      <c r="Q16" s="39">
        <f>IF(OR(I16="",G16=""),"",ROUND(G16-I16,-1))</f>
        <v/>
      </c>
    </row>
    <row r="17" ht="15.75" customHeight="1" s="3">
      <c r="A17" s="38">
        <f>Masters!C6</f>
        <v/>
      </c>
      <c r="B17" s="39">
        <f>SUMIFS(Reco!$C$12:$C$161,Reco!$A$12:$A$161,$A17,Reco!$V$12:$V$161,"Y")</f>
        <v/>
      </c>
      <c r="C17" s="39">
        <f>SUMIFS(Reco!$D$12:$D$161,Reco!$A$12:$A$161,$A17,Reco!$V$12:$V$161,"Y")</f>
        <v/>
      </c>
      <c r="D17" s="39">
        <f>SUMIFS(Reco!$E$12:$E$161,Reco!$A$12:$A$161,$A17,Reco!$V$12:$V$161,"Y")</f>
        <v/>
      </c>
      <c r="E17" s="39">
        <f>SUMIFS(Reco!$F$12:$F$161,Reco!$A$12:$A$161,$A17,Reco!$V$12:$V$161,"Y")</f>
        <v/>
      </c>
      <c r="F17" s="39">
        <f>SUMIFS(Reco!$G$12:$G$161,Reco!$A$12:$A$161,$A17,Reco!$V$12:$V$161,"Y")</f>
        <v/>
      </c>
      <c r="G17" s="39">
        <f>SUMIFS(Reco!$H$12:$H$161,Reco!$A$12:$A$161,$A17,Reco!$V$12:$V$161,"Y")</f>
        <v/>
      </c>
      <c r="H17" s="39">
        <f>SUMIFS(Reco!$I$12:$I$161,Reco!$A$12:$A$161,$A17,Reco!$V$12:$V$161,"Y")</f>
        <v/>
      </c>
      <c r="I17" s="40">
        <f>SUMIFS(Reco!$J$12:$J$161,Reco!$A$12:$A$161,$A17,Reco!$V$12:$V$161,"Y")</f>
        <v/>
      </c>
      <c r="J17" s="39">
        <f>IF(OR(B17="",D17=""),"",ROUND(B17-D17,-1))</f>
        <v/>
      </c>
      <c r="K17" s="39">
        <f>IF(OR(C17="",E17=""),"",ROUND(C17-E17,-1))</f>
        <v/>
      </c>
      <c r="L17" s="39">
        <f>IF(OR(B17="",F17=""),"",ROUND(B17-F17,-1))</f>
        <v/>
      </c>
      <c r="M17" s="39">
        <f>IF(OR(C17="",G17=""),"",ROUND(C17-G17,-1))</f>
        <v/>
      </c>
      <c r="N17" s="39">
        <f>IF(OR(D17="",F17=""),"",ROUND(D17-F17,-1))</f>
        <v/>
      </c>
      <c r="O17" s="39">
        <f>IF(OR(E17="",G17=""),"",ROUND(E17-G17,-1))</f>
        <v/>
      </c>
      <c r="P17" s="39">
        <f>IF(OR(F17="",H17=""),"",ROUND(F17-H17,-1))</f>
        <v/>
      </c>
      <c r="Q17" s="39">
        <f>IF(OR(I17="",G17=""),"",ROUND(G17-I17,-1))</f>
        <v/>
      </c>
    </row>
    <row r="18" ht="15.75" customHeight="1" s="3">
      <c r="A18" s="38">
        <f>Masters!C7</f>
        <v/>
      </c>
      <c r="B18" s="39">
        <f>SUMIFS(Reco!$C$12:$C$161,Reco!$A$12:$A$161,$A18,Reco!$V$12:$V$161,"Y")</f>
        <v/>
      </c>
      <c r="C18" s="39">
        <f>SUMIFS(Reco!$D$12:$D$161,Reco!$A$12:$A$161,$A18,Reco!$V$12:$V$161,"Y")</f>
        <v/>
      </c>
      <c r="D18" s="39">
        <f>SUMIFS(Reco!$E$12:$E$161,Reco!$A$12:$A$161,$A18,Reco!$V$12:$V$161,"Y")</f>
        <v/>
      </c>
      <c r="E18" s="39">
        <f>SUMIFS(Reco!$F$12:$F$161,Reco!$A$12:$A$161,$A18,Reco!$V$12:$V$161,"Y")</f>
        <v/>
      </c>
      <c r="F18" s="39">
        <f>SUMIFS(Reco!$G$12:$G$161,Reco!$A$12:$A$161,$A18,Reco!$V$12:$V$161,"Y")</f>
        <v/>
      </c>
      <c r="G18" s="39">
        <f>SUMIFS(Reco!$H$12:$H$161,Reco!$A$12:$A$161,$A18,Reco!$V$12:$V$161,"Y")</f>
        <v/>
      </c>
      <c r="H18" s="39">
        <f>SUMIFS(Reco!$I$12:$I$161,Reco!$A$12:$A$161,$A18,Reco!$V$12:$V$161,"Y")</f>
        <v/>
      </c>
      <c r="I18" s="40">
        <f>SUMIFS(Reco!$J$12:$J$161,Reco!$A$12:$A$161,$A18,Reco!$V$12:$V$161,"Y")</f>
        <v/>
      </c>
      <c r="J18" s="39">
        <f>IF(OR(B18="",D18=""),"",ROUND(B18-D18,-1))</f>
        <v/>
      </c>
      <c r="K18" s="39">
        <f>IF(OR(C18="",E18=""),"",ROUND(C18-E18,-1))</f>
        <v/>
      </c>
      <c r="L18" s="39">
        <f>IF(OR(B18="",F18=""),"",ROUND(B18-F18,-1))</f>
        <v/>
      </c>
      <c r="M18" s="39">
        <f>IF(OR(C18="",G18=""),"",ROUND(C18-G18,-1))</f>
        <v/>
      </c>
      <c r="N18" s="39">
        <f>IF(OR(D18="",F18=""),"",ROUND(D18-F18,-1))</f>
        <v/>
      </c>
      <c r="O18" s="39">
        <f>IF(OR(E18="",G18=""),"",ROUND(E18-G18,-1))</f>
        <v/>
      </c>
      <c r="P18" s="39">
        <f>IF(OR(F18="",H18=""),"",ROUND(F18-H18,-1))</f>
        <v/>
      </c>
      <c r="Q18" s="39">
        <f>IF(OR(I18="",G18=""),"",ROUND(G18-I18,-1))</f>
        <v/>
      </c>
    </row>
    <row r="19" ht="15.75" customHeight="1" s="3">
      <c r="A19" s="38">
        <f>Masters!C8</f>
        <v/>
      </c>
      <c r="B19" s="39">
        <f>SUMIFS(Reco!$C$12:$C$161,Reco!$A$12:$A$161,$A19,Reco!$V$12:$V$161,"Y")</f>
        <v/>
      </c>
      <c r="C19" s="39">
        <f>SUMIFS(Reco!$D$12:$D$161,Reco!$A$12:$A$161,$A19,Reco!$V$12:$V$161,"Y")</f>
        <v/>
      </c>
      <c r="D19" s="39">
        <f>SUMIFS(Reco!$E$12:$E$161,Reco!$A$12:$A$161,$A19,Reco!$V$12:$V$161,"Y")</f>
        <v/>
      </c>
      <c r="E19" s="39">
        <f>SUMIFS(Reco!$F$12:$F$161,Reco!$A$12:$A$161,$A19,Reco!$V$12:$V$161,"Y")</f>
        <v/>
      </c>
      <c r="F19" s="39">
        <f>SUMIFS(Reco!$G$12:$G$161,Reco!$A$12:$A$161,$A19,Reco!$V$12:$V$161,"Y")</f>
        <v/>
      </c>
      <c r="G19" s="39">
        <f>SUMIFS(Reco!$H$12:$H$161,Reco!$A$12:$A$161,$A19,Reco!$V$12:$V$161,"Y")</f>
        <v/>
      </c>
      <c r="H19" s="39">
        <f>SUMIFS(Reco!$I$12:$I$161,Reco!$A$12:$A$161,$A19,Reco!$V$12:$V$161,"Y")</f>
        <v/>
      </c>
      <c r="I19" s="40">
        <f>SUMIFS(Reco!$J$12:$J$161,Reco!$A$12:$A$161,$A19,Reco!$V$12:$V$161,"Y")</f>
        <v/>
      </c>
      <c r="J19" s="39">
        <f>IF(OR(B19="",D19=""),"",ROUND(B19-D19,-1))</f>
        <v/>
      </c>
      <c r="K19" s="39">
        <f>IF(OR(C19="",E19=""),"",ROUND(C19-E19,-1))</f>
        <v/>
      </c>
      <c r="L19" s="39">
        <f>IF(OR(B19="",F19=""),"",ROUND(B19-F19,-1))</f>
        <v/>
      </c>
      <c r="M19" s="39">
        <f>IF(OR(C19="",G19=""),"",ROUND(C19-G19,-1))</f>
        <v/>
      </c>
      <c r="N19" s="39">
        <f>IF(OR(D19="",F19=""),"",ROUND(D19-F19,-1))</f>
        <v/>
      </c>
      <c r="O19" s="39">
        <f>IF(OR(E19="",G19=""),"",ROUND(E19-G19,-1))</f>
        <v/>
      </c>
      <c r="P19" s="39">
        <f>IF(OR(F19="",H19=""),"",ROUND(F19-H19,-1))</f>
        <v/>
      </c>
      <c r="Q19" s="39">
        <f>IF(OR(I19="",G19=""),"",ROUND(G19-I19,-1))</f>
        <v/>
      </c>
    </row>
    <row r="20" ht="15.75" customHeight="1" s="3">
      <c r="A20" s="38">
        <f>Masters!C9</f>
        <v/>
      </c>
      <c r="B20" s="39">
        <f>SUMIFS(Reco!$C$12:$C$161,Reco!$A$12:$A$161,$A20,Reco!$V$12:$V$161,"Y")</f>
        <v/>
      </c>
      <c r="C20" s="39">
        <f>SUMIFS(Reco!$D$12:$D$161,Reco!$A$12:$A$161,$A20,Reco!$V$12:$V$161,"Y")</f>
        <v/>
      </c>
      <c r="D20" s="39">
        <f>SUMIFS(Reco!$E$12:$E$161,Reco!$A$12:$A$161,$A20,Reco!$V$12:$V$161,"Y")</f>
        <v/>
      </c>
      <c r="E20" s="39">
        <f>SUMIFS(Reco!$F$12:$F$161,Reco!$A$12:$A$161,$A20,Reco!$V$12:$V$161,"Y")</f>
        <v/>
      </c>
      <c r="F20" s="39">
        <f>SUMIFS(Reco!$G$12:$G$161,Reco!$A$12:$A$161,$A20,Reco!$V$12:$V$161,"Y")</f>
        <v/>
      </c>
      <c r="G20" s="39">
        <f>SUMIFS(Reco!$H$12:$H$161,Reco!$A$12:$A$161,$A20,Reco!$V$12:$V$161,"Y")</f>
        <v/>
      </c>
      <c r="H20" s="39">
        <f>SUMIFS(Reco!$I$12:$I$161,Reco!$A$12:$A$161,$A20,Reco!$V$12:$V$161,"Y")</f>
        <v/>
      </c>
      <c r="I20" s="40">
        <f>SUMIFS(Reco!$J$12:$J$161,Reco!$A$12:$A$161,$A20,Reco!$V$12:$V$161,"Y")</f>
        <v/>
      </c>
      <c r="J20" s="39">
        <f>IF(OR(B20="",D20=""),"",ROUND(B20-D20,-1))</f>
        <v/>
      </c>
      <c r="K20" s="39">
        <f>IF(OR(C20="",E20=""),"",ROUND(C20-E20,-1))</f>
        <v/>
      </c>
      <c r="L20" s="39">
        <f>IF(OR(B20="",F20=""),"",ROUND(B20-F20,-1))</f>
        <v/>
      </c>
      <c r="M20" s="39">
        <f>IF(OR(C20="",G20=""),"",ROUND(C20-G20,-1))</f>
        <v/>
      </c>
      <c r="N20" s="39">
        <f>IF(OR(D20="",F20=""),"",ROUND(D20-F20,-1))</f>
        <v/>
      </c>
      <c r="O20" s="39">
        <f>IF(OR(E20="",G20=""),"",ROUND(E20-G20,-1))</f>
        <v/>
      </c>
      <c r="P20" s="39">
        <f>IF(OR(F20="",H20=""),"",ROUND(F20-H20,-1))</f>
        <v/>
      </c>
      <c r="Q20" s="39">
        <f>IF(OR(I20="",G20=""),"",ROUND(G20-I20,-1))</f>
        <v/>
      </c>
    </row>
    <row r="21" ht="15.75" customHeight="1" s="3">
      <c r="A21" s="38">
        <f>Masters!C10</f>
        <v/>
      </c>
      <c r="B21" s="39">
        <f>SUMIFS(Reco!$C$12:$C$161,Reco!$A$12:$A$161,$A21,Reco!$V$12:$V$161,"Y")</f>
        <v/>
      </c>
      <c r="C21" s="39">
        <f>SUMIFS(Reco!$D$12:$D$161,Reco!$A$12:$A$161,$A21,Reco!$V$12:$V$161,"Y")</f>
        <v/>
      </c>
      <c r="D21" s="39">
        <f>SUMIFS(Reco!$E$12:$E$161,Reco!$A$12:$A$161,$A21,Reco!$V$12:$V$161,"Y")</f>
        <v/>
      </c>
      <c r="E21" s="39">
        <f>SUMIFS(Reco!$F$12:$F$161,Reco!$A$12:$A$161,$A21,Reco!$V$12:$V$161,"Y")</f>
        <v/>
      </c>
      <c r="F21" s="39">
        <f>SUMIFS(Reco!$G$12:$G$161,Reco!$A$12:$A$161,$A21,Reco!$V$12:$V$161,"Y")</f>
        <v/>
      </c>
      <c r="G21" s="39">
        <f>SUMIFS(Reco!$H$12:$H$161,Reco!$A$12:$A$161,$A21,Reco!$V$12:$V$161,"Y")</f>
        <v/>
      </c>
      <c r="H21" s="39">
        <f>SUMIFS(Reco!$I$12:$I$161,Reco!$A$12:$A$161,$A21,Reco!$V$12:$V$161,"Y")</f>
        <v/>
      </c>
      <c r="I21" s="40">
        <f>SUMIFS(Reco!$J$12:$J$161,Reco!$A$12:$A$161,$A21,Reco!$V$12:$V$161,"Y")</f>
        <v/>
      </c>
      <c r="J21" s="39">
        <f>IF(OR(B21="",D21=""),"",ROUND(B21-D21,-1))</f>
        <v/>
      </c>
      <c r="K21" s="39">
        <f>IF(OR(C21="",E21=""),"",ROUND(C21-E21,-1))</f>
        <v/>
      </c>
      <c r="L21" s="39">
        <f>IF(OR(B21="",F21=""),"",ROUND(B21-F21,-1))</f>
        <v/>
      </c>
      <c r="M21" s="39">
        <f>IF(OR(C21="",G21=""),"",ROUND(C21-G21,-1))</f>
        <v/>
      </c>
      <c r="N21" s="39">
        <f>IF(OR(D21="",F21=""),"",ROUND(D21-F21,-1))</f>
        <v/>
      </c>
      <c r="O21" s="39">
        <f>IF(OR(E21="",G21=""),"",ROUND(E21-G21,-1))</f>
        <v/>
      </c>
      <c r="P21" s="39">
        <f>IF(OR(F21="",H21=""),"",ROUND(F21-H21,-1))</f>
        <v/>
      </c>
      <c r="Q21" s="39">
        <f>IF(OR(I21="",G21=""),"",ROUND(G21-I21,-1))</f>
        <v/>
      </c>
    </row>
    <row r="22" ht="15.75" customHeight="1" s="3">
      <c r="A22" s="38">
        <f>Masters!C11</f>
        <v/>
      </c>
      <c r="B22" s="39">
        <f>SUMIFS(Reco!$C$12:$C$161,Reco!$A$12:$A$161,$A22,Reco!$V$12:$V$161,"Y")</f>
        <v/>
      </c>
      <c r="C22" s="39">
        <f>SUMIFS(Reco!$D$12:$D$161,Reco!$A$12:$A$161,$A22,Reco!$V$12:$V$161,"Y")</f>
        <v/>
      </c>
      <c r="D22" s="39">
        <f>SUMIFS(Reco!$E$12:$E$161,Reco!$A$12:$A$161,$A22,Reco!$V$12:$V$161,"Y")</f>
        <v/>
      </c>
      <c r="E22" s="39">
        <f>SUMIFS(Reco!$F$12:$F$161,Reco!$A$12:$A$161,$A22,Reco!$V$12:$V$161,"Y")</f>
        <v/>
      </c>
      <c r="F22" s="39">
        <f>SUMIFS(Reco!$G$12:$G$161,Reco!$A$12:$A$161,$A22,Reco!$V$12:$V$161,"Y")</f>
        <v/>
      </c>
      <c r="G22" s="39">
        <f>SUMIFS(Reco!$H$12:$H$161,Reco!$A$12:$A$161,$A22,Reco!$V$12:$V$161,"Y")</f>
        <v/>
      </c>
      <c r="H22" s="39">
        <f>SUMIFS(Reco!$I$12:$I$161,Reco!$A$12:$A$161,$A22,Reco!$V$12:$V$161,"Y")</f>
        <v/>
      </c>
      <c r="I22" s="40">
        <f>SUMIFS(Reco!$J$12:$J$161,Reco!$A$12:$A$161,$A22,Reco!$V$12:$V$161,"Y")</f>
        <v/>
      </c>
      <c r="J22" s="39">
        <f>IF(OR(B22="",D22=""),"",ROUND(B22-D22,-1))</f>
        <v/>
      </c>
      <c r="K22" s="39">
        <f>IF(OR(C22="",E22=""),"",ROUND(C22-E22,-1))</f>
        <v/>
      </c>
      <c r="L22" s="39">
        <f>IF(OR(B22="",F22=""),"",ROUND(B22-F22,-1))</f>
        <v/>
      </c>
      <c r="M22" s="39">
        <f>IF(OR(C22="",G22=""),"",ROUND(C22-G22,-1))</f>
        <v/>
      </c>
      <c r="N22" s="39">
        <f>IF(OR(D22="",F22=""),"",ROUND(D22-F22,-1))</f>
        <v/>
      </c>
      <c r="O22" s="39">
        <f>IF(OR(E22="",G22=""),"",ROUND(E22-G22,-1))</f>
        <v/>
      </c>
      <c r="P22" s="39">
        <f>IF(OR(F22="",H22=""),"",ROUND(F22-H22,-1))</f>
        <v/>
      </c>
      <c r="Q22" s="39">
        <f>IF(OR(I22="",G22=""),"",ROUND(G22-I22,-1))</f>
        <v/>
      </c>
    </row>
    <row r="23" ht="15.75" customHeight="1" s="3">
      <c r="A23" s="38">
        <f>Masters!C12</f>
        <v/>
      </c>
      <c r="B23" s="39">
        <f>SUMIFS(Reco!$C$12:$C$161,Reco!$A$12:$A$161,$A23,Reco!$V$12:$V$161,"Y")</f>
        <v/>
      </c>
      <c r="C23" s="39">
        <f>SUMIFS(Reco!$D$12:$D$161,Reco!$A$12:$A$161,$A23,Reco!$V$12:$V$161,"Y")</f>
        <v/>
      </c>
      <c r="D23" s="39">
        <f>SUMIFS(Reco!$E$12:$E$161,Reco!$A$12:$A$161,$A23,Reco!$V$12:$V$161,"Y")</f>
        <v/>
      </c>
      <c r="E23" s="39">
        <f>SUMIFS(Reco!$F$12:$F$161,Reco!$A$12:$A$161,$A23,Reco!$V$12:$V$161,"Y")</f>
        <v/>
      </c>
      <c r="F23" s="39">
        <f>SUMIFS(Reco!$G$12:$G$161,Reco!$A$12:$A$161,$A23,Reco!$V$12:$V$161,"Y")</f>
        <v/>
      </c>
      <c r="G23" s="39">
        <f>SUMIFS(Reco!$H$12:$H$161,Reco!$A$12:$A$161,$A23,Reco!$V$12:$V$161,"Y")</f>
        <v/>
      </c>
      <c r="H23" s="39">
        <f>SUMIFS(Reco!$I$12:$I$161,Reco!$A$12:$A$161,$A23,Reco!$V$12:$V$161,"Y")</f>
        <v/>
      </c>
      <c r="I23" s="40">
        <f>SUMIFS(Reco!$J$12:$J$161,Reco!$A$12:$A$161,$A23,Reco!$V$12:$V$161,"Y")</f>
        <v/>
      </c>
      <c r="J23" s="39">
        <f>IF(OR(B23="",D23=""),"",ROUND(B23-D23,-1))</f>
        <v/>
      </c>
      <c r="K23" s="39">
        <f>IF(OR(C23="",E23=""),"",ROUND(C23-E23,-1))</f>
        <v/>
      </c>
      <c r="L23" s="39">
        <f>IF(OR(B23="",F23=""),"",ROUND(B23-F23,-1))</f>
        <v/>
      </c>
      <c r="M23" s="39">
        <f>IF(OR(C23="",G23=""),"",ROUND(C23-G23,-1))</f>
        <v/>
      </c>
      <c r="N23" s="39">
        <f>IF(OR(D23="",F23=""),"",ROUND(D23-F23,-1))</f>
        <v/>
      </c>
      <c r="O23" s="39">
        <f>IF(OR(E23="",G23=""),"",ROUND(E23-G23,-1))</f>
        <v/>
      </c>
      <c r="P23" s="39">
        <f>IF(OR(F23="",H23=""),"",ROUND(F23-H23,-1))</f>
        <v/>
      </c>
      <c r="Q23" s="39">
        <f>IF(OR(I23="",G23=""),"",ROUND(G23-I23,-1))</f>
        <v/>
      </c>
    </row>
    <row r="24" ht="15.75" customHeight="1" s="3">
      <c r="A24" s="38">
        <f>Masters!C13</f>
        <v/>
      </c>
      <c r="B24" s="39">
        <f>SUMIFS(Reco!$C$12:$C$161,Reco!$A$12:$A$161,$A24,Reco!$V$12:$V$161,"Y")</f>
        <v/>
      </c>
      <c r="C24" s="39">
        <f>SUMIFS(Reco!$D$12:$D$161,Reco!$A$12:$A$161,$A24,Reco!$V$12:$V$161,"Y")</f>
        <v/>
      </c>
      <c r="D24" s="39">
        <f>SUMIFS(Reco!$E$12:$E$161,Reco!$A$12:$A$161,$A24,Reco!$V$12:$V$161,"Y")</f>
        <v/>
      </c>
      <c r="E24" s="39">
        <f>SUMIFS(Reco!$F$12:$F$161,Reco!$A$12:$A$161,$A24,Reco!$V$12:$V$161,"Y")</f>
        <v/>
      </c>
      <c r="F24" s="39">
        <f>SUMIFS(Reco!$G$12:$G$161,Reco!$A$12:$A$161,$A24,Reco!$V$12:$V$161,"Y")</f>
        <v/>
      </c>
      <c r="G24" s="39">
        <f>SUMIFS(Reco!$H$12:$H$161,Reco!$A$12:$A$161,$A24,Reco!$V$12:$V$161,"Y")</f>
        <v/>
      </c>
      <c r="H24" s="39">
        <f>SUMIFS(Reco!$I$12:$I$161,Reco!$A$12:$A$161,$A24,Reco!$V$12:$V$161,"Y")</f>
        <v/>
      </c>
      <c r="I24" s="40">
        <f>SUMIFS(Reco!$J$12:$J$161,Reco!$A$12:$A$161,$A24,Reco!$V$12:$V$161,"Y")</f>
        <v/>
      </c>
      <c r="J24" s="39">
        <f>IF(OR(B24="",D24=""),"",ROUND(B24-D24,-1))</f>
        <v/>
      </c>
      <c r="K24" s="39">
        <f>IF(OR(C24="",E24=""),"",ROUND(C24-E24,-1))</f>
        <v/>
      </c>
      <c r="L24" s="39">
        <f>IF(OR(B24="",F24=""),"",ROUND(B24-F24,-1))</f>
        <v/>
      </c>
      <c r="M24" s="39">
        <f>IF(OR(C24="",G24=""),"",ROUND(C24-G24,-1))</f>
        <v/>
      </c>
      <c r="N24" s="39">
        <f>IF(OR(D24="",F24=""),"",ROUND(D24-F24,-1))</f>
        <v/>
      </c>
      <c r="O24" s="39">
        <f>IF(OR(E24="",G24=""),"",ROUND(E24-G24,-1))</f>
        <v/>
      </c>
      <c r="P24" s="39">
        <f>IF(OR(F24="",H24=""),"",ROUND(F24-H24,-1))</f>
        <v/>
      </c>
      <c r="Q24" s="39">
        <f>IF(OR(I24="",G24=""),"",ROUND(G24-I24,-1))</f>
        <v/>
      </c>
    </row>
    <row r="25" ht="15.75" customHeight="1" s="3">
      <c r="A25" s="38">
        <f>Masters!C14</f>
        <v/>
      </c>
      <c r="B25" s="39">
        <f>SUMIFS(Reco!$C$12:$C$161,Reco!$A$12:$A$161,$A25,Reco!$V$12:$V$161,"Y")</f>
        <v/>
      </c>
      <c r="C25" s="39">
        <f>SUMIFS(Reco!$D$12:$D$161,Reco!$A$12:$A$161,$A25,Reco!$V$12:$V$161,"Y")</f>
        <v/>
      </c>
      <c r="D25" s="39">
        <f>SUMIFS(Reco!$E$12:$E$161,Reco!$A$12:$A$161,$A25,Reco!$V$12:$V$161,"Y")</f>
        <v/>
      </c>
      <c r="E25" s="39">
        <f>SUMIFS(Reco!$F$12:$F$161,Reco!$A$12:$A$161,$A25,Reco!$V$12:$V$161,"Y")</f>
        <v/>
      </c>
      <c r="F25" s="39">
        <f>SUMIFS(Reco!$G$12:$G$161,Reco!$A$12:$A$161,$A25,Reco!$V$12:$V$161,"Y")</f>
        <v/>
      </c>
      <c r="G25" s="39">
        <f>SUMIFS(Reco!$H$12:$H$161,Reco!$A$12:$A$161,$A25,Reco!$V$12:$V$161,"Y")</f>
        <v/>
      </c>
      <c r="H25" s="39">
        <f>SUMIFS(Reco!$I$12:$I$161,Reco!$A$12:$A$161,$A25,Reco!$V$12:$V$161,"Y")</f>
        <v/>
      </c>
      <c r="I25" s="40">
        <f>SUMIFS(Reco!$J$12:$J$161,Reco!$A$12:$A$161,$A25,Reco!$V$12:$V$161,"Y")</f>
        <v/>
      </c>
      <c r="J25" s="39">
        <f>IF(OR(B25="",D25=""),"",ROUND(B25-D25,-1))</f>
        <v/>
      </c>
      <c r="K25" s="39">
        <f>IF(OR(C25="",E25=""),"",ROUND(C25-E25,-1))</f>
        <v/>
      </c>
      <c r="L25" s="39">
        <f>IF(OR(B25="",F25=""),"",ROUND(B25-F25,-1))</f>
        <v/>
      </c>
      <c r="M25" s="39">
        <f>IF(OR(C25="",G25=""),"",ROUND(C25-G25,-1))</f>
        <v/>
      </c>
      <c r="N25" s="39">
        <f>IF(OR(D25="",F25=""),"",ROUND(D25-F25,-1))</f>
        <v/>
      </c>
      <c r="O25" s="39">
        <f>IF(OR(E25="",G25=""),"",ROUND(E25-G25,-1))</f>
        <v/>
      </c>
      <c r="P25" s="39">
        <f>IF(OR(F25="",H25=""),"",ROUND(F25-H25,-1))</f>
        <v/>
      </c>
      <c r="Q25" s="39">
        <f>IF(OR(I25="",G25=""),"",ROUND(G25-I25,-1))</f>
        <v/>
      </c>
    </row>
    <row r="26" ht="15.75" customHeight="1" s="3">
      <c r="A26" s="38">
        <f>Masters!C15</f>
        <v/>
      </c>
      <c r="B26" s="39">
        <f>SUMIFS(Reco!$C$12:$C$161,Reco!$A$12:$A$161,$A26,Reco!$V$12:$V$161,"Y")</f>
        <v/>
      </c>
      <c r="C26" s="39">
        <f>SUMIFS(Reco!$D$12:$D$161,Reco!$A$12:$A$161,$A26,Reco!$V$12:$V$161,"Y")</f>
        <v/>
      </c>
      <c r="D26" s="39">
        <f>SUMIFS(Reco!$E$12:$E$161,Reco!$A$12:$A$161,$A26,Reco!$V$12:$V$161,"Y")</f>
        <v/>
      </c>
      <c r="E26" s="39">
        <f>SUMIFS(Reco!$F$12:$F$161,Reco!$A$12:$A$161,$A26,Reco!$V$12:$V$161,"Y")</f>
        <v/>
      </c>
      <c r="F26" s="39">
        <f>SUMIFS(Reco!$G$12:$G$161,Reco!$A$12:$A$161,$A26,Reco!$V$12:$V$161,"Y")</f>
        <v/>
      </c>
      <c r="G26" s="39">
        <f>SUMIFS(Reco!$H$12:$H$161,Reco!$A$12:$A$161,$A26,Reco!$V$12:$V$161,"Y")</f>
        <v/>
      </c>
      <c r="H26" s="39">
        <f>SUMIFS(Reco!$I$12:$I$161,Reco!$A$12:$A$161,$A26,Reco!$V$12:$V$161,"Y")</f>
        <v/>
      </c>
      <c r="I26" s="40">
        <f>SUMIFS(Reco!$J$12:$J$161,Reco!$A$12:$A$161,$A26,Reco!$V$12:$V$161,"Y")</f>
        <v/>
      </c>
      <c r="J26" s="39">
        <f>IF(OR(B26="",D26=""),"",ROUND(B26-D26,-1))</f>
        <v/>
      </c>
      <c r="K26" s="39">
        <f>IF(OR(C26="",E26=""),"",ROUND(C26-E26,-1))</f>
        <v/>
      </c>
      <c r="L26" s="39">
        <f>IF(OR(B26="",F26=""),"",ROUND(B26-F26,-1))</f>
        <v/>
      </c>
      <c r="M26" s="39">
        <f>IF(OR(C26="",G26=""),"",ROUND(C26-G26,-1))</f>
        <v/>
      </c>
      <c r="N26" s="39">
        <f>IF(OR(D26="",F26=""),"",ROUND(D26-F26,-1))</f>
        <v/>
      </c>
      <c r="O26" s="39">
        <f>IF(OR(E26="",G26=""),"",ROUND(E26-G26,-1))</f>
        <v/>
      </c>
      <c r="P26" s="39">
        <f>IF(OR(F26="",H26=""),"",ROUND(F26-H26,-1))</f>
        <v/>
      </c>
      <c r="Q26" s="39">
        <f>IF(OR(I26="",G26=""),"",ROUND(G26-I26,-1))</f>
        <v/>
      </c>
    </row>
    <row r="27" ht="15.75" customHeight="1" s="3">
      <c r="A27" s="38">
        <f>Masters!C16</f>
        <v/>
      </c>
      <c r="B27" s="39">
        <f>SUMIFS(Reco!$C$12:$C$161,Reco!$A$12:$A$161,$A27,Reco!$V$12:$V$161,"Y")</f>
        <v/>
      </c>
      <c r="C27" s="39">
        <f>SUMIFS(Reco!$D$12:$D$161,Reco!$A$12:$A$161,$A27,Reco!$V$12:$V$161,"Y")</f>
        <v/>
      </c>
      <c r="D27" s="39">
        <f>SUMIFS(Reco!$E$12:$E$161,Reco!$A$12:$A$161,$A27,Reco!$V$12:$V$161,"Y")</f>
        <v/>
      </c>
      <c r="E27" s="39">
        <f>SUMIFS(Reco!$F$12:$F$161,Reco!$A$12:$A$161,$A27,Reco!$V$12:$V$161,"Y")</f>
        <v/>
      </c>
      <c r="F27" s="39">
        <f>SUMIFS(Reco!$G$12:$G$161,Reco!$A$12:$A$161,$A27,Reco!$V$12:$V$161,"Y")</f>
        <v/>
      </c>
      <c r="G27" s="39">
        <f>SUMIFS(Reco!$H$12:$H$161,Reco!$A$12:$A$161,$A27,Reco!$V$12:$V$161,"Y")</f>
        <v/>
      </c>
      <c r="H27" s="39">
        <f>SUMIFS(Reco!$I$12:$I$161,Reco!$A$12:$A$161,$A27,Reco!$V$12:$V$161,"Y")</f>
        <v/>
      </c>
      <c r="I27" s="40">
        <f>SUMIFS(Reco!$J$12:$J$161,Reco!$A$12:$A$161,$A27,Reco!$V$12:$V$161,"Y")</f>
        <v/>
      </c>
      <c r="J27" s="39">
        <f>IF(OR(B27="",D27=""),"",ROUND(B27-D27,-1))</f>
        <v/>
      </c>
      <c r="K27" s="39">
        <f>IF(OR(C27="",E27=""),"",ROUND(C27-E27,-1))</f>
        <v/>
      </c>
      <c r="L27" s="39">
        <f>IF(OR(B27="",F27=""),"",ROUND(B27-F27,-1))</f>
        <v/>
      </c>
      <c r="M27" s="39">
        <f>IF(OR(C27="",G27=""),"",ROUND(C27-G27,-1))</f>
        <v/>
      </c>
      <c r="N27" s="39">
        <f>IF(OR(D27="",F27=""),"",ROUND(D27-F27,-1))</f>
        <v/>
      </c>
      <c r="O27" s="39">
        <f>IF(OR(E27="",G27=""),"",ROUND(E27-G27,-1))</f>
        <v/>
      </c>
      <c r="P27" s="39">
        <f>IF(OR(F27="",H27=""),"",ROUND(F27-H27,-1))</f>
        <v/>
      </c>
      <c r="Q27" s="39">
        <f>IF(OR(I27="",G27=""),"",ROUND(G27-I27,-1))</f>
        <v/>
      </c>
    </row>
    <row r="28" ht="15.75" customHeight="1" s="3">
      <c r="A28" s="38">
        <f>Masters!C17</f>
        <v/>
      </c>
      <c r="B28" s="39">
        <f>SUMIFS(Reco!$C$12:$C$161,Reco!$A$12:$A$161,$A28,Reco!$V$12:$V$161,"Y")</f>
        <v/>
      </c>
      <c r="C28" s="39">
        <f>SUMIFS(Reco!$D$12:$D$161,Reco!$A$12:$A$161,$A28,Reco!$V$12:$V$161,"Y")</f>
        <v/>
      </c>
      <c r="D28" s="39">
        <f>SUMIFS(Reco!$E$12:$E$161,Reco!$A$12:$A$161,$A28,Reco!$V$12:$V$161,"Y")</f>
        <v/>
      </c>
      <c r="E28" s="39">
        <f>SUMIFS(Reco!$F$12:$F$161,Reco!$A$12:$A$161,$A28,Reco!$V$12:$V$161,"Y")</f>
        <v/>
      </c>
      <c r="F28" s="39">
        <f>SUMIFS(Reco!$G$12:$G$161,Reco!$A$12:$A$161,$A28,Reco!$V$12:$V$161,"Y")</f>
        <v/>
      </c>
      <c r="G28" s="39">
        <f>SUMIFS(Reco!$H$12:$H$161,Reco!$A$12:$A$161,$A28,Reco!$V$12:$V$161,"Y")</f>
        <v/>
      </c>
      <c r="H28" s="39">
        <f>SUMIFS(Reco!$I$12:$I$161,Reco!$A$12:$A$161,$A28,Reco!$V$12:$V$161,"Y")</f>
        <v/>
      </c>
      <c r="I28" s="40">
        <f>SUMIFS(Reco!$J$12:$J$161,Reco!$A$12:$A$161,$A28,Reco!$V$12:$V$161,"Y")</f>
        <v/>
      </c>
      <c r="J28" s="39">
        <f>IF(OR(B28="",D28=""),"",ROUND(B28-D28,-1))</f>
        <v/>
      </c>
      <c r="K28" s="39">
        <f>IF(OR(C28="",E28=""),"",ROUND(C28-E28,-1))</f>
        <v/>
      </c>
      <c r="L28" s="39">
        <f>IF(OR(B28="",F28=""),"",ROUND(B28-F28,-1))</f>
        <v/>
      </c>
      <c r="M28" s="39">
        <f>IF(OR(C28="",G28=""),"",ROUND(C28-G28,-1))</f>
        <v/>
      </c>
      <c r="N28" s="39">
        <f>IF(OR(D28="",F28=""),"",ROUND(D28-F28,-1))</f>
        <v/>
      </c>
      <c r="O28" s="39">
        <f>IF(OR(E28="",G28=""),"",ROUND(E28-G28,-1))</f>
        <v/>
      </c>
      <c r="P28" s="39">
        <f>IF(OR(F28="",H28=""),"",ROUND(F28-H28,-1))</f>
        <v/>
      </c>
      <c r="Q28" s="39">
        <f>IF(OR(I28="",G28=""),"",ROUND(G28-I28,-1))</f>
        <v/>
      </c>
    </row>
    <row r="29" ht="15.75" customHeight="1" s="3">
      <c r="A29" s="38">
        <f>Masters!C18</f>
        <v/>
      </c>
      <c r="B29" s="39">
        <f>SUMIFS(Reco!$C$12:$C$161,Reco!$A$12:$A$161,$A29,Reco!$V$12:$V$161,"Y")</f>
        <v/>
      </c>
      <c r="C29" s="39">
        <f>SUMIFS(Reco!$D$12:$D$161,Reco!$A$12:$A$161,$A29,Reco!$V$12:$V$161,"Y")</f>
        <v/>
      </c>
      <c r="D29" s="39">
        <f>SUMIFS(Reco!$E$12:$E$161,Reco!$A$12:$A$161,$A29,Reco!$V$12:$V$161,"Y")</f>
        <v/>
      </c>
      <c r="E29" s="39">
        <f>SUMIFS(Reco!$F$12:$F$161,Reco!$A$12:$A$161,$A29,Reco!$V$12:$V$161,"Y")</f>
        <v/>
      </c>
      <c r="F29" s="39">
        <f>SUMIFS(Reco!$G$12:$G$161,Reco!$A$12:$A$161,$A29,Reco!$V$12:$V$161,"Y")</f>
        <v/>
      </c>
      <c r="G29" s="39">
        <f>SUMIFS(Reco!$H$12:$H$161,Reco!$A$12:$A$161,$A29,Reco!$V$12:$V$161,"Y")</f>
        <v/>
      </c>
      <c r="H29" s="39">
        <f>SUMIFS(Reco!$I$12:$I$161,Reco!$A$12:$A$161,$A29,Reco!$V$12:$V$161,"Y")</f>
        <v/>
      </c>
      <c r="I29" s="40">
        <f>SUMIFS(Reco!$J$12:$J$161,Reco!$A$12:$A$161,$A29,Reco!$V$12:$V$161,"Y")</f>
        <v/>
      </c>
      <c r="J29" s="39">
        <f>IF(OR(B29="",D29=""),"",ROUND(B29-D29,-1))</f>
        <v/>
      </c>
      <c r="K29" s="39">
        <f>IF(OR(C29="",E29=""),"",ROUND(C29-E29,-1))</f>
        <v/>
      </c>
      <c r="L29" s="39">
        <f>IF(OR(B29="",F29=""),"",ROUND(B29-F29,-1))</f>
        <v/>
      </c>
      <c r="M29" s="39">
        <f>IF(OR(C29="",G29=""),"",ROUND(C29-G29,-1))</f>
        <v/>
      </c>
      <c r="N29" s="39">
        <f>IF(OR(D29="",F29=""),"",ROUND(D29-F29,-1))</f>
        <v/>
      </c>
      <c r="O29" s="39">
        <f>IF(OR(E29="",G29=""),"",ROUND(E29-G29,-1))</f>
        <v/>
      </c>
      <c r="P29" s="39">
        <f>IF(OR(F29="",H29=""),"",ROUND(F29-H29,-1))</f>
        <v/>
      </c>
      <c r="Q29" s="39">
        <f>IF(OR(I29="",G29=""),"",ROUND(G29-I29,-1))</f>
        <v/>
      </c>
    </row>
    <row r="30" ht="15.75" customHeight="1" s="3">
      <c r="A30" s="38">
        <f>Masters!C19</f>
        <v/>
      </c>
      <c r="B30" s="39">
        <f>SUMIFS(Reco!$C$12:$C$161,Reco!$A$12:$A$161,$A30,Reco!$V$12:$V$161,"Y")</f>
        <v/>
      </c>
      <c r="C30" s="39">
        <f>SUMIFS(Reco!$D$12:$D$161,Reco!$A$12:$A$161,$A30,Reco!$V$12:$V$161,"Y")</f>
        <v/>
      </c>
      <c r="D30" s="39">
        <f>SUMIFS(Reco!$E$12:$E$161,Reco!$A$12:$A$161,$A30,Reco!$V$12:$V$161,"Y")</f>
        <v/>
      </c>
      <c r="E30" s="39">
        <f>SUMIFS(Reco!$F$12:$F$161,Reco!$A$12:$A$161,$A30,Reco!$V$12:$V$161,"Y")</f>
        <v/>
      </c>
      <c r="F30" s="39">
        <f>SUMIFS(Reco!$G$12:$G$161,Reco!$A$12:$A$161,$A30,Reco!$V$12:$V$161,"Y")</f>
        <v/>
      </c>
      <c r="G30" s="39">
        <f>SUMIFS(Reco!$H$12:$H$161,Reco!$A$12:$A$161,$A30,Reco!$V$12:$V$161,"Y")</f>
        <v/>
      </c>
      <c r="H30" s="39">
        <f>SUMIFS(Reco!$I$12:$I$161,Reco!$A$12:$A$161,$A30,Reco!$V$12:$V$161,"Y")</f>
        <v/>
      </c>
      <c r="I30" s="40">
        <f>SUMIFS(Reco!$J$12:$J$161,Reco!$A$12:$A$161,$A30,Reco!$V$12:$V$161,"Y")</f>
        <v/>
      </c>
      <c r="J30" s="39">
        <f>IF(OR(B30="",D30=""),"",ROUND(B30-D30,-1))</f>
        <v/>
      </c>
      <c r="K30" s="39">
        <f>IF(OR(C30="",E30=""),"",ROUND(C30-E30,-1))</f>
        <v/>
      </c>
      <c r="L30" s="39">
        <f>IF(OR(B30="",F30=""),"",ROUND(B30-F30,-1))</f>
        <v/>
      </c>
      <c r="M30" s="39">
        <f>IF(OR(C30="",G30=""),"",ROUND(C30-G30,-1))</f>
        <v/>
      </c>
      <c r="N30" s="39">
        <f>IF(OR(D30="",F30=""),"",ROUND(D30-F30,-1))</f>
        <v/>
      </c>
      <c r="O30" s="39">
        <f>IF(OR(E30="",G30=""),"",ROUND(E30-G30,-1))</f>
        <v/>
      </c>
      <c r="P30" s="39">
        <f>IF(OR(F30="",H30=""),"",ROUND(F30-H30,-1))</f>
        <v/>
      </c>
      <c r="Q30" s="39">
        <f>IF(OR(I30="",G30=""),"",ROUND(G30-I30,-1))</f>
        <v/>
      </c>
    </row>
    <row r="31" ht="15.75" customHeight="1" s="3">
      <c r="A31" s="38">
        <f>Masters!C20</f>
        <v/>
      </c>
      <c r="B31" s="39">
        <f>SUMIFS(Reco!$C$12:$C$161,Reco!$A$12:$A$161,$A31,Reco!$V$12:$V$161,"Y")</f>
        <v/>
      </c>
      <c r="C31" s="39">
        <f>SUMIFS(Reco!$D$12:$D$161,Reco!$A$12:$A$161,$A31,Reco!$V$12:$V$161,"Y")</f>
        <v/>
      </c>
      <c r="D31" s="39">
        <f>SUMIFS(Reco!$E$12:$E$161,Reco!$A$12:$A$161,$A31,Reco!$V$12:$V$161,"Y")</f>
        <v/>
      </c>
      <c r="E31" s="39">
        <f>SUMIFS(Reco!$F$12:$F$161,Reco!$A$12:$A$161,$A31,Reco!$V$12:$V$161,"Y")</f>
        <v/>
      </c>
      <c r="F31" s="39">
        <f>SUMIFS(Reco!$G$12:$G$161,Reco!$A$12:$A$161,$A31,Reco!$V$12:$V$161,"Y")</f>
        <v/>
      </c>
      <c r="G31" s="39">
        <f>SUMIFS(Reco!$H$12:$H$161,Reco!$A$12:$A$161,$A31,Reco!$V$12:$V$161,"Y")</f>
        <v/>
      </c>
      <c r="H31" s="39">
        <f>SUMIFS(Reco!$I$12:$I$161,Reco!$A$12:$A$161,$A31,Reco!$V$12:$V$161,"Y")</f>
        <v/>
      </c>
      <c r="I31" s="40">
        <f>SUMIFS(Reco!$J$12:$J$161,Reco!$A$12:$A$161,$A31,Reco!$V$12:$V$161,"Y")</f>
        <v/>
      </c>
      <c r="J31" s="39">
        <f>IF(OR(B31="",D31=""),"",ROUND(B31-D31,-1))</f>
        <v/>
      </c>
      <c r="K31" s="39">
        <f>IF(OR(C31="",E31=""),"",ROUND(C31-E31,-1))</f>
        <v/>
      </c>
      <c r="L31" s="39">
        <f>IF(OR(B31="",F31=""),"",ROUND(B31-F31,-1))</f>
        <v/>
      </c>
      <c r="M31" s="39">
        <f>IF(OR(C31="",G31=""),"",ROUND(C31-G31,-1))</f>
        <v/>
      </c>
      <c r="N31" s="39">
        <f>IF(OR(D31="",F31=""),"",ROUND(D31-F31,-1))</f>
        <v/>
      </c>
      <c r="O31" s="39">
        <f>IF(OR(E31="",G31=""),"",ROUND(E31-G31,-1))</f>
        <v/>
      </c>
      <c r="P31" s="39">
        <f>IF(OR(F31="",H31=""),"",ROUND(F31-H31,-1))</f>
        <v/>
      </c>
      <c r="Q31" s="39">
        <f>IF(OR(I31="",G31=""),"",ROUND(G31-I31,-1))</f>
        <v/>
      </c>
    </row>
    <row r="32" ht="15.75" customHeight="1" s="3">
      <c r="A32" s="38">
        <f>Masters!C21</f>
        <v/>
      </c>
      <c r="B32" s="39">
        <f>SUMIFS(Reco!$C$12:$C$161,Reco!$A$12:$A$161,$A32,Reco!$V$12:$V$161,"Y")</f>
        <v/>
      </c>
      <c r="C32" s="39">
        <f>SUMIFS(Reco!$D$12:$D$161,Reco!$A$12:$A$161,$A32,Reco!$V$12:$V$161,"Y")</f>
        <v/>
      </c>
      <c r="D32" s="39">
        <f>SUMIFS(Reco!$E$12:$E$161,Reco!$A$12:$A$161,$A32,Reco!$V$12:$V$161,"Y")</f>
        <v/>
      </c>
      <c r="E32" s="39">
        <f>SUMIFS(Reco!$F$12:$F$161,Reco!$A$12:$A$161,$A32,Reco!$V$12:$V$161,"Y")</f>
        <v/>
      </c>
      <c r="F32" s="39">
        <f>SUMIFS(Reco!$G$12:$G$161,Reco!$A$12:$A$161,$A32,Reco!$V$12:$V$161,"Y")</f>
        <v/>
      </c>
      <c r="G32" s="39">
        <f>SUMIFS(Reco!$H$12:$H$161,Reco!$A$12:$A$161,$A32,Reco!$V$12:$V$161,"Y")</f>
        <v/>
      </c>
      <c r="H32" s="39">
        <f>SUMIFS(Reco!$I$12:$I$161,Reco!$A$12:$A$161,$A32,Reco!$V$12:$V$161,"Y")</f>
        <v/>
      </c>
      <c r="I32" s="40">
        <f>SUMIFS(Reco!$J$12:$J$161,Reco!$A$12:$A$161,$A32,Reco!$V$12:$V$161,"Y")</f>
        <v/>
      </c>
      <c r="J32" s="39">
        <f>IF(OR(B32="",D32=""),"",ROUND(B32-D32,-1))</f>
        <v/>
      </c>
      <c r="K32" s="39">
        <f>IF(OR(C32="",E32=""),"",ROUND(C32-E32,-1))</f>
        <v/>
      </c>
      <c r="L32" s="39">
        <f>IF(OR(B32="",F32=""),"",ROUND(B32-F32,-1))</f>
        <v/>
      </c>
      <c r="M32" s="39">
        <f>IF(OR(C32="",G32=""),"",ROUND(C32-G32,-1))</f>
        <v/>
      </c>
      <c r="N32" s="39">
        <f>IF(OR(D32="",F32=""),"",ROUND(D32-F32,-1))</f>
        <v/>
      </c>
      <c r="O32" s="39">
        <f>IF(OR(E32="",G32=""),"",ROUND(E32-G32,-1))</f>
        <v/>
      </c>
      <c r="P32" s="39">
        <f>IF(OR(F32="",H32=""),"",ROUND(F32-H32,-1))</f>
        <v/>
      </c>
      <c r="Q32" s="39">
        <f>IF(OR(I32="",G32=""),"",ROUND(G32-I32,-1))</f>
        <v/>
      </c>
    </row>
    <row r="33" ht="15.75" customHeight="1" s="3">
      <c r="A33" s="38">
        <f>Masters!C22</f>
        <v/>
      </c>
      <c r="B33" s="39">
        <f>SUMIFS(Reco!$C$12:$C$161,Reco!$A$12:$A$161,$A33,Reco!$V$12:$V$161,"Y")</f>
        <v/>
      </c>
      <c r="C33" s="39">
        <f>SUMIFS(Reco!$D$12:$D$161,Reco!$A$12:$A$161,$A33,Reco!$V$12:$V$161,"Y")</f>
        <v/>
      </c>
      <c r="D33" s="39">
        <f>SUMIFS(Reco!$E$12:$E$161,Reco!$A$12:$A$161,$A33,Reco!$V$12:$V$161,"Y")</f>
        <v/>
      </c>
      <c r="E33" s="39">
        <f>SUMIFS(Reco!$F$12:$F$161,Reco!$A$12:$A$161,$A33,Reco!$V$12:$V$161,"Y")</f>
        <v/>
      </c>
      <c r="F33" s="39">
        <f>SUMIFS(Reco!$G$12:$G$161,Reco!$A$12:$A$161,$A33,Reco!$V$12:$V$161,"Y")</f>
        <v/>
      </c>
      <c r="G33" s="39">
        <f>SUMIFS(Reco!$H$12:$H$161,Reco!$A$12:$A$161,$A33,Reco!$V$12:$V$161,"Y")</f>
        <v/>
      </c>
      <c r="H33" s="39">
        <f>SUMIFS(Reco!$I$12:$I$161,Reco!$A$12:$A$161,$A33,Reco!$V$12:$V$161,"Y")</f>
        <v/>
      </c>
      <c r="I33" s="40">
        <f>SUMIFS(Reco!$J$12:$J$161,Reco!$A$12:$A$161,$A33,Reco!$V$12:$V$161,"Y")</f>
        <v/>
      </c>
      <c r="J33" s="39">
        <f>IF(OR(B33="",D33=""),"",ROUND(B33-D33,-1))</f>
        <v/>
      </c>
      <c r="K33" s="39">
        <f>IF(OR(C33="",E33=""),"",ROUND(C33-E33,-1))</f>
        <v/>
      </c>
      <c r="L33" s="39">
        <f>IF(OR(B33="",F33=""),"",ROUND(B33-F33,-1))</f>
        <v/>
      </c>
      <c r="M33" s="39">
        <f>IF(OR(C33="",G33=""),"",ROUND(C33-G33,-1))</f>
        <v/>
      </c>
      <c r="N33" s="39">
        <f>IF(OR(D33="",F33=""),"",ROUND(D33-F33,-1))</f>
        <v/>
      </c>
      <c r="O33" s="39">
        <f>IF(OR(E33="",G33=""),"",ROUND(E33-G33,-1))</f>
        <v/>
      </c>
      <c r="P33" s="39">
        <f>IF(OR(F33="",H33=""),"",ROUND(F33-H33,-1))</f>
        <v/>
      </c>
      <c r="Q33" s="39">
        <f>IF(OR(I33="",G33=""),"",ROUND(G33-I33,-1))</f>
        <v/>
      </c>
    </row>
    <row r="34" ht="15.75" customHeight="1" s="3">
      <c r="A34" s="38">
        <f>Masters!C23</f>
        <v/>
      </c>
      <c r="B34" s="39">
        <f>SUMIFS(Reco!$C$12:$C$161,Reco!$A$12:$A$161,$A34,Reco!$V$12:$V$161,"Y")</f>
        <v/>
      </c>
      <c r="C34" s="39">
        <f>SUMIFS(Reco!$D$12:$D$161,Reco!$A$12:$A$161,$A34,Reco!$V$12:$V$161,"Y")</f>
        <v/>
      </c>
      <c r="D34" s="39">
        <f>SUMIFS(Reco!$E$12:$E$161,Reco!$A$12:$A$161,$A34,Reco!$V$12:$V$161,"Y")</f>
        <v/>
      </c>
      <c r="E34" s="39">
        <f>SUMIFS(Reco!$F$12:$F$161,Reco!$A$12:$A$161,$A34,Reco!$V$12:$V$161,"Y")</f>
        <v/>
      </c>
      <c r="F34" s="39">
        <f>SUMIFS(Reco!$G$12:$G$161,Reco!$A$12:$A$161,$A34,Reco!$V$12:$V$161,"Y")</f>
        <v/>
      </c>
      <c r="G34" s="39">
        <f>SUMIFS(Reco!$H$12:$H$161,Reco!$A$12:$A$161,$A34,Reco!$V$12:$V$161,"Y")</f>
        <v/>
      </c>
      <c r="H34" s="39">
        <f>SUMIFS(Reco!$I$12:$I$161,Reco!$A$12:$A$161,$A34,Reco!$V$12:$V$161,"Y")</f>
        <v/>
      </c>
      <c r="I34" s="40">
        <f>SUMIFS(Reco!$J$12:$J$161,Reco!$A$12:$A$161,$A34,Reco!$V$12:$V$161,"Y")</f>
        <v/>
      </c>
      <c r="J34" s="39">
        <f>IF(OR(B34="",D34=""),"",ROUND(B34-D34,-1))</f>
        <v/>
      </c>
      <c r="K34" s="39">
        <f>IF(OR(C34="",E34=""),"",ROUND(C34-E34,-1))</f>
        <v/>
      </c>
      <c r="L34" s="39">
        <f>IF(OR(B34="",F34=""),"",ROUND(B34-F34,-1))</f>
        <v/>
      </c>
      <c r="M34" s="39">
        <f>IF(OR(C34="",G34=""),"",ROUND(C34-G34,-1))</f>
        <v/>
      </c>
      <c r="N34" s="39">
        <f>IF(OR(D34="",F34=""),"",ROUND(D34-F34,-1))</f>
        <v/>
      </c>
      <c r="O34" s="39">
        <f>IF(OR(E34="",G34=""),"",ROUND(E34-G34,-1))</f>
        <v/>
      </c>
      <c r="P34" s="39">
        <f>IF(OR(F34="",H34=""),"",ROUND(F34-H34,-1))</f>
        <v/>
      </c>
      <c r="Q34" s="39">
        <f>IF(OR(I34="",G34=""),"",ROUND(G34-I34,-1))</f>
        <v/>
      </c>
    </row>
    <row r="35" ht="15.75" customHeight="1" s="3">
      <c r="A35" s="38">
        <f>Masters!C24</f>
        <v/>
      </c>
      <c r="B35" s="39">
        <f>SUMIFS(Reco!$C$12:$C$161,Reco!$A$12:$A$161,$A35,Reco!$V$12:$V$161,"Y")</f>
        <v/>
      </c>
      <c r="C35" s="39">
        <f>SUMIFS(Reco!$D$12:$D$161,Reco!$A$12:$A$161,$A35,Reco!$V$12:$V$161,"Y")</f>
        <v/>
      </c>
      <c r="D35" s="39">
        <f>SUMIFS(Reco!$E$12:$E$161,Reco!$A$12:$A$161,$A35,Reco!$V$12:$V$161,"Y")</f>
        <v/>
      </c>
      <c r="E35" s="39">
        <f>SUMIFS(Reco!$F$12:$F$161,Reco!$A$12:$A$161,$A35,Reco!$V$12:$V$161,"Y")</f>
        <v/>
      </c>
      <c r="F35" s="39">
        <f>SUMIFS(Reco!$G$12:$G$161,Reco!$A$12:$A$161,$A35,Reco!$V$12:$V$161,"Y")</f>
        <v/>
      </c>
      <c r="G35" s="39">
        <f>SUMIFS(Reco!$H$12:$H$161,Reco!$A$12:$A$161,$A35,Reco!$V$12:$V$161,"Y")</f>
        <v/>
      </c>
      <c r="H35" s="39">
        <f>SUMIFS(Reco!$I$12:$I$161,Reco!$A$12:$A$161,$A35,Reco!$V$12:$V$161,"Y")</f>
        <v/>
      </c>
      <c r="I35" s="40">
        <f>SUMIFS(Reco!$J$12:$J$161,Reco!$A$12:$A$161,$A35,Reco!$V$12:$V$161,"Y")</f>
        <v/>
      </c>
      <c r="J35" s="39">
        <f>IF(OR(B35="",D35=""),"",ROUND(B35-D35,-1))</f>
        <v/>
      </c>
      <c r="K35" s="39">
        <f>IF(OR(C35="",E35=""),"",ROUND(C35-E35,-1))</f>
        <v/>
      </c>
      <c r="L35" s="39">
        <f>IF(OR(B35="",F35=""),"",ROUND(B35-F35,-1))</f>
        <v/>
      </c>
      <c r="M35" s="39">
        <f>IF(OR(C35="",G35=""),"",ROUND(C35-G35,-1))</f>
        <v/>
      </c>
      <c r="N35" s="39">
        <f>IF(OR(D35="",F35=""),"",ROUND(D35-F35,-1))</f>
        <v/>
      </c>
      <c r="O35" s="39">
        <f>IF(OR(E35="",G35=""),"",ROUND(E35-G35,-1))</f>
        <v/>
      </c>
      <c r="P35" s="39">
        <f>IF(OR(F35="",H35=""),"",ROUND(F35-H35,-1))</f>
        <v/>
      </c>
      <c r="Q35" s="39">
        <f>IF(OR(I35="",G35=""),"",ROUND(G35-I35,-1))</f>
        <v/>
      </c>
    </row>
    <row r="36" ht="15.75" customHeight="1" s="3">
      <c r="A36" s="41">
        <f>Masters!C25</f>
        <v/>
      </c>
      <c r="B36" s="42">
        <f>SUMIFS(Reco!$C$12:$C$161,Reco!$A$12:$A$161,$A36,Reco!$V$12:$V$161,"Y")</f>
        <v/>
      </c>
      <c r="C36" s="42">
        <f>SUMIFS(Reco!$D$12:$D$161,Reco!$A$12:$A$161,$A36,Reco!$V$12:$V$161,"Y")</f>
        <v/>
      </c>
      <c r="D36" s="42">
        <f>SUMIFS(Reco!$E$12:$E$161,Reco!$A$12:$A$161,$A36,Reco!$V$12:$V$161,"Y")</f>
        <v/>
      </c>
      <c r="E36" s="42">
        <f>SUMIFS(Reco!$F$12:$F$161,Reco!$A$12:$A$161,$A36,Reco!$V$12:$V$161,"Y")</f>
        <v/>
      </c>
      <c r="F36" s="42">
        <f>SUMIFS(Reco!$G$12:$G$161,Reco!$A$12:$A$161,$A36,Reco!$V$12:$V$161,"Y")</f>
        <v/>
      </c>
      <c r="G36" s="42">
        <f>SUMIFS(Reco!$H$12:$H$161,Reco!$A$12:$A$161,$A36,Reco!$V$12:$V$161,"Y")</f>
        <v/>
      </c>
      <c r="H36" s="42">
        <f>SUMIFS(Reco!$I$12:$I$161,Reco!$A$12:$A$161,$A36,Reco!$V$12:$V$161,"Y")</f>
        <v/>
      </c>
      <c r="I36" s="43">
        <f>SUMIFS(Reco!$J$12:$J$161,Reco!$A$12:$A$161,$A36,Reco!$V$12:$V$161,"Y")</f>
        <v/>
      </c>
      <c r="J36" s="43">
        <f>IF(OR(B36="",D36=""),"",ROUND(B36-D36,-1))</f>
        <v/>
      </c>
      <c r="K36" s="43">
        <f>IF(OR(C36="",E36=""),"",ROUND(C36-E36,-1))</f>
        <v/>
      </c>
      <c r="L36" s="43">
        <f>IF(OR(B36="",F36=""),"",ROUND(B36-F36,-1))</f>
        <v/>
      </c>
      <c r="M36" s="43">
        <f>IF(OR(C36="",G36=""),"",ROUND(C36-G36,-1))</f>
        <v/>
      </c>
      <c r="N36" s="43">
        <f>IF(OR(D36="",F36=""),"",ROUND(D36-F36,-1))</f>
        <v/>
      </c>
      <c r="O36" s="43">
        <f>IF(OR(E36="",G36=""),"",ROUND(E36-G36,-1))</f>
        <v/>
      </c>
      <c r="P36" s="43">
        <f>IF(OR(F36="",H36=""),"",ROUND(F36-H36,-1))</f>
        <v/>
      </c>
      <c r="Q36" s="43">
        <f>SUMIF(Reco!$A$12:$A$161,Summary!P36,Reco!$C$12:$C$161)</f>
        <v/>
      </c>
    </row>
    <row r="37" ht="15" customHeight="1" s="3">
      <c r="A37" t="inlineStr">
        <is>
          <t>Dividend Receipts</t>
        </is>
      </c>
      <c r="B37" s="44">
        <f>SUMIFS(Reco!$C$12:$C$161,Reco!$A$12:$A$161,$A37,Reco!$V$12:$V$161,"Y")</f>
        <v/>
      </c>
      <c r="C37" s="44">
        <f>SUMIFS(Reco!$D$12:$D$161,Reco!$A$12:$A$161,$A37,Reco!$V$12:$V$161,"Y")</f>
        <v/>
      </c>
      <c r="D37" s="44">
        <f>SUMIFS(Reco!$E$12:$E$161,Reco!$A$12:$A$161,$A37,Reco!$V$12:$V$161,"Y")</f>
        <v/>
      </c>
      <c r="E37" s="44">
        <f>SUMIFS(Reco!$F$12:$F$161,Reco!$A$12:$A$161,$A37,Reco!$V$12:$V$161,"Y")</f>
        <v/>
      </c>
      <c r="F37" s="44">
        <f>SUMIFS(Reco!$G$12:$G$161,Reco!$A$12:$A$161,$A37,Reco!$V$12:$V$161,"Y")</f>
        <v/>
      </c>
      <c r="G37" s="44">
        <f>SUMIFS(Reco!$H$12:$H$161,Reco!$A$12:$A$161,$A37,Reco!$V$12:$V$161,"Y")</f>
        <v/>
      </c>
      <c r="H37" s="44">
        <f>SUMIFS(Reco!$I$12:$I$161,Reco!$A$12:$A$161,$A37,Reco!$V$12:$V$161,"Y")</f>
        <v/>
      </c>
      <c r="I37" s="44">
        <f>SUMIFS(Reco!$J$12:$J$161,Reco!$A$12:$A$161,$A37,Reco!$V$12:$V$161,"Y")</f>
        <v/>
      </c>
      <c r="J37">
        <f>IF(OR(B37="",D37=""),"",ROUND(B37-D37,-1))</f>
        <v/>
      </c>
      <c r="K37">
        <f>IF(OR(C37="",E37=""),"",ROUND(C37-E37,-1))</f>
        <v/>
      </c>
      <c r="L37">
        <f>IF(OR(B37="",F37=""),"",ROUND(B37-F37,-1))</f>
        <v/>
      </c>
      <c r="M37">
        <f>IF(OR(C37="",G37=""),"",ROUND(C37-G37,-1))</f>
        <v/>
      </c>
      <c r="N37">
        <f>IF(OR(D37="",F37=""),"",ROUND(D37-F37,-1))</f>
        <v/>
      </c>
      <c r="O37">
        <f>IF(OR(E37="",G37=""),"",ROUND(E37-G37,-1))</f>
        <v/>
      </c>
      <c r="P37">
        <f>IF(OR(F37="",H37=""),"",ROUND(F37-H37,-1))</f>
        <v/>
      </c>
      <c r="Q37">
        <f>SUM(Q13:Q36)</f>
        <v/>
      </c>
    </row>
    <row r="38">
      <c r="A38" t="inlineStr">
        <is>
          <t>Other TDS/TCS</t>
        </is>
      </c>
      <c r="B38">
        <f>SUMIFS(Reco!$C$12:$C$161,Reco!$A$12:$A$161,$A38,Reco!$V$12:$V$161,"Y")</f>
        <v/>
      </c>
      <c r="C38">
        <f>SUMIFS(Reco!$D$12:$D$161,Reco!$A$12:$A$161,$A38,Reco!$V$12:$V$161,"Y")</f>
        <v/>
      </c>
      <c r="D38">
        <f>SUMIFS(Reco!$E$12:$E$161,Reco!$A$12:$A$161,$A38,Reco!$V$12:$V$161,"Y")</f>
        <v/>
      </c>
      <c r="E38">
        <f>SUMIFS(Reco!$F$12:$F$161,Reco!$A$12:$A$161,$A38,Reco!$V$12:$V$161,"Y")</f>
        <v/>
      </c>
      <c r="F38">
        <f>SUMIFS(Reco!$G$12:$G$161,Reco!$A$12:$A$161,$A38,Reco!$V$12:$V$161,"Y")</f>
        <v/>
      </c>
      <c r="G38">
        <f>SUMIFS(Reco!$H$12:$H$161,Reco!$A$12:$A$161,$A38,Reco!$V$12:$V$161,"Y")</f>
        <v/>
      </c>
      <c r="H38">
        <f>SUMIFS(Reco!$I$12:$I$161,Reco!$A$12:$A$161,$A38,Reco!$V$12:$V$161,"Y")</f>
        <v/>
      </c>
      <c r="I38">
        <f>SUMIFS(Reco!$J$12:$J$161,Reco!$A$12:$A$161,$A38,Reco!$V$12:$V$161,"Y")</f>
        <v/>
      </c>
      <c r="J38">
        <f>IF(OR(B38="",D38=""),"",ROUND(B38-D38,-1))</f>
        <v/>
      </c>
      <c r="K38">
        <f>IF(OR(C38="",E38=""),"",ROUND(C38-E38,-1))</f>
        <v/>
      </c>
      <c r="L38">
        <f>IF(OR(B38="",F38=""),"",ROUND(B38-F38,-1))</f>
        <v/>
      </c>
      <c r="M38">
        <f>IF(OR(C38="",G38=""),"",ROUND(C38-G38,-1))</f>
        <v/>
      </c>
      <c r="N38">
        <f>IF(OR(D38="",F38=""),"",ROUND(D38-F38,-1))</f>
        <v/>
      </c>
      <c r="O38">
        <f>IF(OR(E38="",G38=""),"",ROUND(E38-G38,-1))</f>
        <v/>
      </c>
      <c r="P38">
        <f>IF(OR(F38="",H38=""),"",ROUND(F38-H38,-1))</f>
        <v/>
      </c>
    </row>
    <row r="39">
      <c r="A39" t="inlineStr">
        <is>
          <t>TOTAL</t>
        </is>
      </c>
      <c r="B39">
        <f>SUM(B13:B38)</f>
        <v/>
      </c>
      <c r="C39">
        <f>SUM(C13:C38)</f>
        <v/>
      </c>
      <c r="D39">
        <f>SUM(D13:D38)</f>
        <v/>
      </c>
      <c r="E39">
        <f>SUM(E13:E38)</f>
        <v/>
      </c>
      <c r="F39">
        <f>SUM(F13:F38)</f>
        <v/>
      </c>
      <c r="G39">
        <f>SUM(G13:G38)</f>
        <v/>
      </c>
      <c r="H39">
        <f>SUM(H13:H38)</f>
        <v/>
      </c>
      <c r="I39">
        <f>SUM(I13:I38)</f>
        <v/>
      </c>
      <c r="J39">
        <f>SUM(J13:J38)</f>
        <v/>
      </c>
      <c r="K39">
        <f>SUM(K13:K38)</f>
        <v/>
      </c>
      <c r="L39">
        <f>SUM(L13:L38)</f>
        <v/>
      </c>
      <c r="M39">
        <f>SUM(M13:M38)</f>
        <v/>
      </c>
      <c r="N39">
        <f>SUM(N13:N38)</f>
        <v/>
      </c>
      <c r="O39">
        <f>SUM(O13:O38)</f>
        <v/>
      </c>
      <c r="P39">
        <f>SUM(P13:P38)</f>
        <v/>
      </c>
    </row>
  </sheetData>
  <mergeCells count="14">
    <mergeCell ref="H11:I11"/>
    <mergeCell ref="F11:G11"/>
    <mergeCell ref="B5:D5"/>
    <mergeCell ref="L12:M12"/>
    <mergeCell ref="J12:K12"/>
    <mergeCell ref="P12:Q12"/>
    <mergeCell ref="B11:C11"/>
    <mergeCell ref="N12:O12"/>
    <mergeCell ref="D11:E11"/>
    <mergeCell ref="B8:D8"/>
    <mergeCell ref="J11:Q11"/>
    <mergeCell ref="B7:D7"/>
    <mergeCell ref="B6:D6"/>
    <mergeCell ref="A11:A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G27"/>
  <sheetViews>
    <sheetView workbookViewId="0">
      <selection activeCell="A1" sqref="A1"/>
    </sheetView>
  </sheetViews>
  <sheetFormatPr baseColWidth="8" defaultColWidth="8.6640625" defaultRowHeight="14.39999961853027"/>
  <cols>
    <col width="18.5546875" customWidth="1" style="3" min="3" max="3"/>
  </cols>
  <sheetData>
    <row r="2" ht="15" customHeight="1" s="3">
      <c r="A2" t="inlineStr">
        <is>
          <t>2021-22</t>
        </is>
      </c>
      <c r="C2" t="inlineStr">
        <is>
          <t>92B - Salaries Receipts</t>
        </is>
      </c>
      <c r="E2" t="inlineStr">
        <is>
          <t>Monish Guptha</t>
        </is>
      </c>
      <c r="G2" t="inlineStr">
        <is>
          <t>Yes</t>
        </is>
      </c>
    </row>
    <row r="3" ht="15" customHeight="1" s="3">
      <c r="A3" t="inlineStr">
        <is>
          <t>2022-23</t>
        </is>
      </c>
      <c r="C3" t="inlineStr">
        <is>
          <t>94C - Contract Receipts</t>
        </is>
      </c>
      <c r="E3" t="inlineStr">
        <is>
          <t>Hitanshi</t>
        </is>
      </c>
      <c r="G3" t="inlineStr">
        <is>
          <t>No</t>
        </is>
      </c>
    </row>
    <row r="4" ht="15" customHeight="1" s="3">
      <c r="A4" t="inlineStr">
        <is>
          <t>2023-24</t>
        </is>
      </c>
      <c r="C4" t="inlineStr">
        <is>
          <t>94JA - Technical Receipts</t>
        </is>
      </c>
      <c r="E4" t="inlineStr">
        <is>
          <t>Hari</t>
        </is>
      </c>
      <c r="G4" t="inlineStr">
        <is>
          <t>NA</t>
        </is>
      </c>
    </row>
    <row r="5" ht="15" customHeight="1" s="3">
      <c r="A5" t="inlineStr">
        <is>
          <t>2024-25</t>
        </is>
      </c>
      <c r="C5" t="inlineStr">
        <is>
          <t>94JB - Professional Receipts</t>
        </is>
      </c>
      <c r="E5" t="inlineStr">
        <is>
          <t>Harshita</t>
        </is>
      </c>
      <c r="G5" t="inlineStr">
        <is>
          <t>Can't Say</t>
        </is>
      </c>
    </row>
    <row r="6" ht="15" customHeight="1" s="3">
      <c r="A6" t="inlineStr">
        <is>
          <t>2025-26</t>
        </is>
      </c>
      <c r="C6" t="inlineStr">
        <is>
          <t xml:space="preserve">94IA - Rent Receipts (P &amp; M) </t>
        </is>
      </c>
      <c r="E6" t="inlineStr">
        <is>
          <t>PJS</t>
        </is>
      </c>
    </row>
    <row r="7" ht="15" customHeight="1" s="3">
      <c r="A7" t="inlineStr">
        <is>
          <t>2026-27</t>
        </is>
      </c>
      <c r="C7" t="inlineStr">
        <is>
          <t xml:space="preserve">94IB - Rent Receipts (L &amp; B) </t>
        </is>
      </c>
      <c r="E7" t="inlineStr">
        <is>
          <t>Others</t>
        </is>
      </c>
    </row>
    <row r="8" ht="15" customHeight="1" s="3">
      <c r="C8" t="inlineStr">
        <is>
          <t>94A - Interest Receipts</t>
        </is>
      </c>
      <c r="E8" t="inlineStr">
        <is>
          <t>Divya</t>
        </is>
      </c>
    </row>
    <row r="9" ht="15" customHeight="1" s="3">
      <c r="C9" t="inlineStr">
        <is>
          <t>94Q - Purchases</t>
        </is>
      </c>
    </row>
    <row r="10" ht="15" customHeight="1" s="3">
      <c r="C10" t="inlineStr">
        <is>
          <t>94H - Commission Receipts</t>
        </is>
      </c>
    </row>
    <row r="11" ht="15" customHeight="1" s="3">
      <c r="C11" t="inlineStr">
        <is>
          <t>94L - Property Transactions</t>
        </is>
      </c>
    </row>
    <row r="12" ht="15" customHeight="1" s="3">
      <c r="C12" t="inlineStr">
        <is>
          <t>Purchase of Securities</t>
        </is>
      </c>
    </row>
    <row r="13" ht="15" customHeight="1" s="3">
      <c r="C13" t="inlineStr">
        <is>
          <t>Sale of Securities</t>
        </is>
      </c>
    </row>
    <row r="14" ht="15" customHeight="1" s="3">
      <c r="C14" t="inlineStr">
        <is>
          <t>GST Sales</t>
        </is>
      </c>
    </row>
    <row r="15" ht="15" customHeight="1" s="3">
      <c r="C15" t="inlineStr">
        <is>
          <t>GST Purchases</t>
        </is>
      </c>
    </row>
    <row r="16" ht="15" customHeight="1" s="3">
      <c r="C16" t="inlineStr">
        <is>
          <t>Advance Tax</t>
        </is>
      </c>
    </row>
    <row r="17" ht="15" customHeight="1" s="3">
      <c r="C17" t="inlineStr">
        <is>
          <t>Cash Deposits</t>
        </is>
      </c>
    </row>
    <row r="18" ht="15" customHeight="1" s="3">
      <c r="C18" t="inlineStr">
        <is>
          <t>Cash Withdrawals</t>
        </is>
      </c>
    </row>
    <row r="19" ht="15" customHeight="1" s="3">
      <c r="C19" t="inlineStr">
        <is>
          <t>SAT</t>
        </is>
      </c>
    </row>
    <row r="20" ht="15" customHeight="1" s="3">
      <c r="C20" t="inlineStr">
        <is>
          <t>206CJ - TCS Purchases</t>
        </is>
      </c>
    </row>
    <row r="21" ht="15" customHeight="1" s="3">
      <c r="C21" t="inlineStr">
        <is>
          <t>206CE - TCS Purchases</t>
        </is>
      </c>
    </row>
    <row r="22" ht="15" customHeight="1" s="3">
      <c r="C22" t="inlineStr">
        <is>
          <t>206CL - TCS Purchases</t>
        </is>
      </c>
    </row>
    <row r="23" ht="15" customHeight="1" s="3">
      <c r="C23" t="inlineStr">
        <is>
          <t>206CR-TCS Purchases</t>
        </is>
      </c>
    </row>
    <row r="24" ht="15" customHeight="1" s="3">
      <c r="C24" t="inlineStr">
        <is>
          <t>94N - Cash Withdrawals</t>
        </is>
      </c>
    </row>
    <row r="25">
      <c r="C25" t="inlineStr">
        <is>
          <t>94R - Benefits / Perquisites</t>
        </is>
      </c>
    </row>
    <row r="26">
      <c r="C26" t="inlineStr">
        <is>
          <t>Dividend Receipts</t>
        </is>
      </c>
    </row>
    <row r="27">
      <c r="C27" t="inlineStr">
        <is>
          <t>Other TDS/TCS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2026-08-20T12:24:15Z</dcterms:created>
  <dcterms:modified xmlns:dcterms="http://purl.org/dc/terms/" xmlns:xsi="http://www.w3.org/2001/XMLSchema-instance" xsi:type="dcterms:W3CDTF">2026-08-20T12:24:15Z</dcterms:modified>
</cp:coreProperties>
</file>