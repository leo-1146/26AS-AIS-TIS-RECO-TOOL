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PJS-DS\Common Pool\Monish Guptha\AIS TIS RECO TOOL\NEW\AIS_TIS_26AS_Reco_WebTool_PUBLIC\"/>
    </mc:Choice>
  </mc:AlternateContent>
  <xr:revisionPtr revIDLastSave="0" documentId="13_ncr:1_{099D58A5-3F7E-4A1F-9DB5-AD0083818A79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Reco" sheetId="1" r:id="rId1"/>
    <sheet name="Summary" sheetId="2" r:id="rId2"/>
    <sheet name="Masters" sheetId="3" r:id="rId3"/>
  </sheets>
  <definedNames>
    <definedName name="_xlnm._FilterDatabase" localSheetId="0" hidden="1">Reco!$A$11:$U$105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5" i="2" l="1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T65" i="1"/>
  <c r="R65" i="1"/>
  <c r="Q65" i="1"/>
  <c r="P65" i="1"/>
  <c r="N65" i="1"/>
  <c r="L65" i="1"/>
  <c r="K65" i="1"/>
  <c r="T64" i="1"/>
  <c r="R64" i="1"/>
  <c r="Q64" i="1"/>
  <c r="P64" i="1"/>
  <c r="N64" i="1"/>
  <c r="L64" i="1"/>
  <c r="K64" i="1"/>
  <c r="T63" i="1"/>
  <c r="R63" i="1"/>
  <c r="Q63" i="1"/>
  <c r="P63" i="1"/>
  <c r="N63" i="1"/>
  <c r="L63" i="1"/>
  <c r="K63" i="1"/>
  <c r="T62" i="1"/>
  <c r="Q62" i="1"/>
  <c r="N62" i="1"/>
  <c r="K62" i="1"/>
  <c r="T61" i="1"/>
  <c r="Q61" i="1"/>
  <c r="N61" i="1"/>
  <c r="K61" i="1"/>
  <c r="T60" i="1"/>
  <c r="Q60" i="1"/>
  <c r="N60" i="1"/>
  <c r="K60" i="1"/>
  <c r="T59" i="1"/>
  <c r="Q59" i="1"/>
  <c r="N59" i="1"/>
  <c r="K59" i="1"/>
  <c r="T58" i="1"/>
  <c r="Q58" i="1"/>
  <c r="N58" i="1"/>
  <c r="K58" i="1"/>
  <c r="T57" i="1"/>
  <c r="Q57" i="1"/>
  <c r="N57" i="1"/>
  <c r="K57" i="1"/>
  <c r="T56" i="1"/>
  <c r="Q56" i="1"/>
  <c r="N56" i="1"/>
  <c r="K56" i="1"/>
  <c r="T55" i="1"/>
  <c r="Q55" i="1"/>
  <c r="N55" i="1"/>
  <c r="K55" i="1"/>
  <c r="T54" i="1"/>
  <c r="Q54" i="1"/>
  <c r="N54" i="1"/>
  <c r="K54" i="1"/>
  <c r="T53" i="1"/>
  <c r="Q53" i="1"/>
  <c r="N53" i="1"/>
  <c r="K53" i="1"/>
  <c r="T52" i="1"/>
  <c r="Q52" i="1"/>
  <c r="N52" i="1"/>
  <c r="K52" i="1"/>
  <c r="T51" i="1"/>
  <c r="Q51" i="1"/>
  <c r="N51" i="1"/>
  <c r="K51" i="1"/>
  <c r="T50" i="1"/>
  <c r="Q50" i="1"/>
  <c r="N50" i="1"/>
  <c r="K50" i="1"/>
  <c r="T49" i="1"/>
  <c r="Q49" i="1"/>
  <c r="N49" i="1"/>
  <c r="K49" i="1"/>
  <c r="T48" i="1"/>
  <c r="Q48" i="1"/>
  <c r="N48" i="1"/>
  <c r="K48" i="1"/>
  <c r="T47" i="1"/>
  <c r="Q47" i="1"/>
  <c r="N47" i="1"/>
  <c r="K47" i="1"/>
  <c r="T46" i="1"/>
  <c r="Q46" i="1"/>
  <c r="N46" i="1"/>
  <c r="K46" i="1"/>
  <c r="T45" i="1"/>
  <c r="Q45" i="1"/>
  <c r="N45" i="1"/>
  <c r="K45" i="1"/>
  <c r="T44" i="1"/>
  <c r="Q44" i="1"/>
  <c r="N44" i="1"/>
  <c r="K44" i="1"/>
  <c r="T43" i="1"/>
  <c r="Q43" i="1"/>
  <c r="N43" i="1"/>
  <c r="K43" i="1"/>
  <c r="T42" i="1"/>
  <c r="Q42" i="1"/>
  <c r="N42" i="1"/>
  <c r="K42" i="1"/>
  <c r="T41" i="1"/>
  <c r="Q41" i="1"/>
  <c r="N41" i="1"/>
  <c r="K41" i="1"/>
  <c r="T40" i="1"/>
  <c r="Q40" i="1"/>
  <c r="N40" i="1"/>
  <c r="K40" i="1"/>
  <c r="T39" i="1"/>
  <c r="Q39" i="1"/>
  <c r="N39" i="1"/>
  <c r="K39" i="1"/>
  <c r="T38" i="1"/>
  <c r="Q38" i="1"/>
  <c r="N38" i="1"/>
  <c r="K38" i="1"/>
  <c r="T37" i="1"/>
  <c r="Q37" i="1"/>
  <c r="N37" i="1"/>
  <c r="K37" i="1"/>
  <c r="T36" i="1"/>
  <c r="Q36" i="1"/>
  <c r="N36" i="1"/>
  <c r="K36" i="1"/>
  <c r="T35" i="1"/>
  <c r="Q35" i="1"/>
  <c r="N35" i="1"/>
  <c r="K35" i="1"/>
  <c r="T34" i="1"/>
  <c r="Q34" i="1"/>
  <c r="N34" i="1"/>
  <c r="K34" i="1"/>
  <c r="T33" i="1"/>
  <c r="Q33" i="1"/>
  <c r="N33" i="1"/>
  <c r="K33" i="1"/>
  <c r="T32" i="1"/>
  <c r="Q32" i="1"/>
  <c r="N32" i="1"/>
  <c r="K32" i="1"/>
  <c r="T31" i="1"/>
  <c r="Q31" i="1"/>
  <c r="N31" i="1"/>
  <c r="K31" i="1"/>
  <c r="T30" i="1"/>
  <c r="Q30" i="1"/>
  <c r="N30" i="1"/>
  <c r="K30" i="1"/>
  <c r="T29" i="1"/>
  <c r="Q29" i="1"/>
  <c r="N29" i="1"/>
  <c r="K29" i="1"/>
  <c r="T28" i="1"/>
  <c r="Q28" i="1"/>
  <c r="N28" i="1"/>
  <c r="K28" i="1"/>
  <c r="T27" i="1"/>
  <c r="Q27" i="1"/>
  <c r="N27" i="1"/>
  <c r="K27" i="1"/>
  <c r="T26" i="1"/>
  <c r="Q26" i="1"/>
  <c r="N26" i="1"/>
  <c r="K26" i="1"/>
  <c r="T25" i="1"/>
  <c r="Q25" i="1"/>
  <c r="N25" i="1"/>
  <c r="K25" i="1"/>
  <c r="T24" i="1"/>
  <c r="Q24" i="1"/>
  <c r="N24" i="1"/>
  <c r="K24" i="1"/>
  <c r="T23" i="1"/>
  <c r="Q23" i="1"/>
  <c r="N23" i="1"/>
  <c r="K23" i="1"/>
  <c r="T22" i="1"/>
  <c r="Q22" i="1"/>
  <c r="N22" i="1"/>
  <c r="K22" i="1"/>
  <c r="T21" i="1"/>
  <c r="Q21" i="1"/>
  <c r="N21" i="1"/>
  <c r="K21" i="1"/>
  <c r="T20" i="1"/>
  <c r="Q20" i="1"/>
  <c r="N20" i="1"/>
  <c r="K20" i="1"/>
  <c r="T19" i="1"/>
  <c r="Q19" i="1"/>
  <c r="N19" i="1"/>
  <c r="K19" i="1"/>
  <c r="T18" i="1"/>
  <c r="Q18" i="1"/>
  <c r="N18" i="1"/>
  <c r="K18" i="1"/>
  <c r="T17" i="1"/>
  <c r="Q17" i="1"/>
  <c r="N17" i="1"/>
  <c r="K17" i="1"/>
  <c r="T16" i="1"/>
  <c r="Q16" i="1"/>
  <c r="N16" i="1"/>
  <c r="K16" i="1"/>
  <c r="T15" i="1"/>
  <c r="Q15" i="1"/>
  <c r="N15" i="1"/>
  <c r="K15" i="1"/>
  <c r="T14" i="1"/>
  <c r="Q14" i="1"/>
  <c r="N14" i="1"/>
  <c r="K14" i="1"/>
  <c r="T13" i="1"/>
  <c r="Q13" i="1"/>
  <c r="N13" i="1"/>
  <c r="K13" i="1"/>
  <c r="T12" i="1"/>
  <c r="R12" i="1"/>
  <c r="Q12" i="1"/>
  <c r="P12" i="1"/>
  <c r="O12" i="1"/>
  <c r="N12" i="1"/>
  <c r="M12" i="1"/>
  <c r="L12" i="1"/>
  <c r="K12" i="1"/>
  <c r="Q9" i="1"/>
  <c r="N9" i="1"/>
  <c r="K9" i="1"/>
  <c r="J9" i="1"/>
  <c r="I9" i="1"/>
  <c r="H9" i="1"/>
  <c r="G9" i="1"/>
  <c r="F9" i="1"/>
  <c r="E9" i="1"/>
  <c r="D9" i="1"/>
  <c r="C9" i="1"/>
  <c r="R13" i="1" l="1"/>
  <c r="P13" i="1"/>
  <c r="L13" i="1"/>
  <c r="O13" i="1"/>
  <c r="M13" i="1"/>
  <c r="R14" i="1"/>
  <c r="P14" i="1"/>
  <c r="L14" i="1"/>
  <c r="O14" i="1"/>
  <c r="M14" i="1"/>
  <c r="R15" i="1"/>
  <c r="P15" i="1"/>
  <c r="L15" i="1"/>
  <c r="O15" i="1"/>
  <c r="M15" i="1"/>
  <c r="R16" i="1"/>
  <c r="P16" i="1"/>
  <c r="L16" i="1"/>
  <c r="O16" i="1"/>
  <c r="M16" i="1"/>
  <c r="R17" i="1"/>
  <c r="P17" i="1"/>
  <c r="L17" i="1"/>
  <c r="O17" i="1"/>
  <c r="M17" i="1"/>
  <c r="R18" i="1"/>
  <c r="P18" i="1"/>
  <c r="L18" i="1"/>
  <c r="O18" i="1"/>
  <c r="M18" i="1"/>
  <c r="R19" i="1"/>
  <c r="P19" i="1"/>
  <c r="L19" i="1"/>
  <c r="O19" i="1"/>
  <c r="M19" i="1"/>
  <c r="R20" i="1"/>
  <c r="P20" i="1"/>
  <c r="L20" i="1"/>
  <c r="O20" i="1"/>
  <c r="M20" i="1"/>
  <c r="R21" i="1"/>
  <c r="P21" i="1"/>
  <c r="L21" i="1"/>
  <c r="O21" i="1"/>
  <c r="M21" i="1"/>
  <c r="R22" i="1"/>
  <c r="P22" i="1"/>
  <c r="L22" i="1"/>
  <c r="O22" i="1"/>
  <c r="M22" i="1"/>
  <c r="R23" i="1"/>
  <c r="P23" i="1"/>
  <c r="L23" i="1"/>
  <c r="O23" i="1"/>
  <c r="M23" i="1"/>
  <c r="R24" i="1"/>
  <c r="P24" i="1"/>
  <c r="L24" i="1"/>
  <c r="O24" i="1"/>
  <c r="M24" i="1"/>
  <c r="R25" i="1"/>
  <c r="P25" i="1"/>
  <c r="L25" i="1"/>
  <c r="O25" i="1"/>
  <c r="M25" i="1"/>
  <c r="R26" i="1"/>
  <c r="P26" i="1"/>
  <c r="L26" i="1"/>
  <c r="O26" i="1"/>
  <c r="M26" i="1"/>
  <c r="R27" i="1"/>
  <c r="P27" i="1"/>
  <c r="L27" i="1"/>
  <c r="O27" i="1"/>
  <c r="M27" i="1"/>
  <c r="R28" i="1"/>
  <c r="P28" i="1"/>
  <c r="L28" i="1"/>
  <c r="O28" i="1"/>
  <c r="M28" i="1"/>
  <c r="R29" i="1"/>
  <c r="P29" i="1"/>
  <c r="L29" i="1"/>
  <c r="O29" i="1"/>
  <c r="M29" i="1"/>
  <c r="R30" i="1"/>
  <c r="P30" i="1"/>
  <c r="L30" i="1"/>
  <c r="O30" i="1"/>
  <c r="M30" i="1"/>
  <c r="R31" i="1"/>
  <c r="P31" i="1"/>
  <c r="L31" i="1"/>
  <c r="O31" i="1"/>
  <c r="M31" i="1"/>
  <c r="R32" i="1"/>
  <c r="P32" i="1"/>
  <c r="L32" i="1"/>
  <c r="O32" i="1"/>
  <c r="M32" i="1"/>
  <c r="R33" i="1"/>
  <c r="P33" i="1"/>
  <c r="L33" i="1"/>
  <c r="O33" i="1"/>
  <c r="M33" i="1"/>
  <c r="R34" i="1"/>
  <c r="P34" i="1"/>
  <c r="L34" i="1"/>
  <c r="O34" i="1"/>
  <c r="M34" i="1"/>
  <c r="R35" i="1"/>
  <c r="P35" i="1"/>
  <c r="L35" i="1"/>
  <c r="O35" i="1"/>
  <c r="M35" i="1"/>
  <c r="R36" i="1"/>
  <c r="P36" i="1"/>
  <c r="L36" i="1"/>
  <c r="O36" i="1"/>
  <c r="M36" i="1"/>
  <c r="R37" i="1"/>
  <c r="P37" i="1"/>
  <c r="L37" i="1"/>
  <c r="O37" i="1"/>
  <c r="M37" i="1"/>
  <c r="R38" i="1"/>
  <c r="P38" i="1"/>
  <c r="L38" i="1"/>
  <c r="O38" i="1"/>
  <c r="M38" i="1"/>
  <c r="R39" i="1"/>
  <c r="P39" i="1"/>
  <c r="L39" i="1"/>
  <c r="O39" i="1"/>
  <c r="M39" i="1"/>
  <c r="R40" i="1"/>
  <c r="P40" i="1"/>
  <c r="L40" i="1"/>
  <c r="O40" i="1"/>
  <c r="M40" i="1"/>
  <c r="R41" i="1"/>
  <c r="P41" i="1"/>
  <c r="L41" i="1"/>
  <c r="O41" i="1"/>
  <c r="M41" i="1"/>
  <c r="R42" i="1"/>
  <c r="P42" i="1"/>
  <c r="L42" i="1"/>
  <c r="O42" i="1"/>
  <c r="M42" i="1"/>
  <c r="R43" i="1"/>
  <c r="P43" i="1"/>
  <c r="L43" i="1"/>
  <c r="O43" i="1"/>
  <c r="M43" i="1"/>
  <c r="R44" i="1"/>
  <c r="P44" i="1"/>
  <c r="L44" i="1"/>
  <c r="O44" i="1"/>
  <c r="M44" i="1"/>
  <c r="R45" i="1"/>
  <c r="P45" i="1"/>
  <c r="L45" i="1"/>
  <c r="O45" i="1"/>
  <c r="M45" i="1"/>
  <c r="R46" i="1"/>
  <c r="P46" i="1"/>
  <c r="L46" i="1"/>
  <c r="O46" i="1"/>
  <c r="M46" i="1"/>
  <c r="R47" i="1"/>
  <c r="P47" i="1"/>
  <c r="L47" i="1"/>
  <c r="O47" i="1"/>
  <c r="M47" i="1"/>
  <c r="R48" i="1"/>
  <c r="P48" i="1"/>
  <c r="L48" i="1"/>
  <c r="O48" i="1"/>
  <c r="M48" i="1"/>
  <c r="R49" i="1"/>
  <c r="P49" i="1"/>
  <c r="L49" i="1"/>
  <c r="O49" i="1"/>
  <c r="M49" i="1"/>
  <c r="R50" i="1"/>
  <c r="P50" i="1"/>
  <c r="L50" i="1"/>
  <c r="O50" i="1"/>
  <c r="M50" i="1"/>
  <c r="R51" i="1"/>
  <c r="P51" i="1"/>
  <c r="L51" i="1"/>
  <c r="O51" i="1"/>
  <c r="M51" i="1"/>
  <c r="R52" i="1"/>
  <c r="P52" i="1"/>
  <c r="L52" i="1"/>
  <c r="O52" i="1"/>
  <c r="M52" i="1"/>
  <c r="R53" i="1"/>
  <c r="P53" i="1"/>
  <c r="L53" i="1"/>
  <c r="O53" i="1"/>
  <c r="M53" i="1"/>
  <c r="R54" i="1"/>
  <c r="P54" i="1"/>
  <c r="L54" i="1"/>
  <c r="O54" i="1"/>
  <c r="M54" i="1"/>
  <c r="R55" i="1"/>
  <c r="P55" i="1"/>
  <c r="L55" i="1"/>
  <c r="O55" i="1"/>
  <c r="M55" i="1"/>
  <c r="R56" i="1"/>
  <c r="P56" i="1"/>
  <c r="L56" i="1"/>
  <c r="O56" i="1"/>
  <c r="M56" i="1"/>
  <c r="R57" i="1"/>
  <c r="P57" i="1"/>
  <c r="L57" i="1"/>
  <c r="O57" i="1"/>
  <c r="M57" i="1"/>
  <c r="R58" i="1"/>
  <c r="P58" i="1"/>
  <c r="L58" i="1"/>
  <c r="O58" i="1"/>
  <c r="M58" i="1"/>
  <c r="R59" i="1"/>
  <c r="P59" i="1"/>
  <c r="L59" i="1"/>
  <c r="O59" i="1"/>
  <c r="M59" i="1"/>
  <c r="R60" i="1"/>
  <c r="P60" i="1"/>
  <c r="L60" i="1"/>
  <c r="O60" i="1"/>
  <c r="M60" i="1"/>
  <c r="R61" i="1"/>
  <c r="P61" i="1"/>
  <c r="L61" i="1"/>
  <c r="O61" i="1"/>
  <c r="M61" i="1"/>
  <c r="R62" i="1"/>
  <c r="P62" i="1"/>
  <c r="L62" i="1"/>
  <c r="O62" i="1"/>
  <c r="M62" i="1"/>
  <c r="O63" i="1"/>
  <c r="M63" i="1"/>
  <c r="O64" i="1"/>
  <c r="M64" i="1"/>
  <c r="O65" i="1"/>
  <c r="M65" i="1"/>
  <c r="I13" i="2"/>
  <c r="H13" i="2"/>
  <c r="G13" i="2"/>
  <c r="F13" i="2"/>
  <c r="E13" i="2"/>
  <c r="D13" i="2"/>
  <c r="C13" i="2"/>
  <c r="B13" i="2"/>
  <c r="I14" i="2"/>
  <c r="H14" i="2"/>
  <c r="G14" i="2"/>
  <c r="F14" i="2"/>
  <c r="E14" i="2"/>
  <c r="O14" i="2" s="1"/>
  <c r="D14" i="2"/>
  <c r="C14" i="2"/>
  <c r="B14" i="2"/>
  <c r="I15" i="2"/>
  <c r="H15" i="2"/>
  <c r="G15" i="2"/>
  <c r="F15" i="2"/>
  <c r="E15" i="2"/>
  <c r="O15" i="2" s="1"/>
  <c r="D15" i="2"/>
  <c r="C15" i="2"/>
  <c r="B15" i="2"/>
  <c r="I16" i="2"/>
  <c r="H16" i="2"/>
  <c r="G16" i="2"/>
  <c r="F16" i="2"/>
  <c r="E16" i="2"/>
  <c r="O16" i="2" s="1"/>
  <c r="D16" i="2"/>
  <c r="C16" i="2"/>
  <c r="B16" i="2"/>
  <c r="I17" i="2"/>
  <c r="H17" i="2"/>
  <c r="G17" i="2"/>
  <c r="F17" i="2"/>
  <c r="E17" i="2"/>
  <c r="O17" i="2" s="1"/>
  <c r="D17" i="2"/>
  <c r="C17" i="2"/>
  <c r="B17" i="2"/>
  <c r="I18" i="2"/>
  <c r="H18" i="2"/>
  <c r="G18" i="2"/>
  <c r="F18" i="2"/>
  <c r="E18" i="2"/>
  <c r="O18" i="2" s="1"/>
  <c r="D18" i="2"/>
  <c r="C18" i="2"/>
  <c r="B18" i="2"/>
  <c r="I19" i="2"/>
  <c r="H19" i="2"/>
  <c r="G19" i="2"/>
  <c r="F19" i="2"/>
  <c r="E19" i="2"/>
  <c r="O19" i="2" s="1"/>
  <c r="D19" i="2"/>
  <c r="C19" i="2"/>
  <c r="B19" i="2"/>
  <c r="I20" i="2"/>
  <c r="H20" i="2"/>
  <c r="G20" i="2"/>
  <c r="F20" i="2"/>
  <c r="E20" i="2"/>
  <c r="O20" i="2" s="1"/>
  <c r="D20" i="2"/>
  <c r="C20" i="2"/>
  <c r="B20" i="2"/>
  <c r="I21" i="2"/>
  <c r="H21" i="2"/>
  <c r="G21" i="2"/>
  <c r="F21" i="2"/>
  <c r="E21" i="2"/>
  <c r="O21" i="2" s="1"/>
  <c r="D21" i="2"/>
  <c r="C21" i="2"/>
  <c r="B21" i="2"/>
  <c r="I22" i="2"/>
  <c r="H22" i="2"/>
  <c r="G22" i="2"/>
  <c r="F22" i="2"/>
  <c r="E22" i="2"/>
  <c r="O22" i="2" s="1"/>
  <c r="D22" i="2"/>
  <c r="C22" i="2"/>
  <c r="B22" i="2"/>
  <c r="I23" i="2"/>
  <c r="H23" i="2"/>
  <c r="G23" i="2"/>
  <c r="F23" i="2"/>
  <c r="E23" i="2"/>
  <c r="O23" i="2" s="1"/>
  <c r="D23" i="2"/>
  <c r="C23" i="2"/>
  <c r="B23" i="2"/>
  <c r="I24" i="2"/>
  <c r="H24" i="2"/>
  <c r="G24" i="2"/>
  <c r="F24" i="2"/>
  <c r="E24" i="2"/>
  <c r="O24" i="2" s="1"/>
  <c r="D24" i="2"/>
  <c r="C24" i="2"/>
  <c r="B24" i="2"/>
  <c r="I25" i="2"/>
  <c r="H25" i="2"/>
  <c r="G25" i="2"/>
  <c r="F25" i="2"/>
  <c r="E25" i="2"/>
  <c r="O25" i="2" s="1"/>
  <c r="D25" i="2"/>
  <c r="C25" i="2"/>
  <c r="B25" i="2"/>
  <c r="I26" i="2"/>
  <c r="H26" i="2"/>
  <c r="G26" i="2"/>
  <c r="F26" i="2"/>
  <c r="E26" i="2"/>
  <c r="O26" i="2" s="1"/>
  <c r="D26" i="2"/>
  <c r="C26" i="2"/>
  <c r="B26" i="2"/>
  <c r="I27" i="2"/>
  <c r="H27" i="2"/>
  <c r="G27" i="2"/>
  <c r="F27" i="2"/>
  <c r="E27" i="2"/>
  <c r="O27" i="2" s="1"/>
  <c r="D27" i="2"/>
  <c r="C27" i="2"/>
  <c r="B27" i="2"/>
  <c r="I28" i="2"/>
  <c r="H28" i="2"/>
  <c r="G28" i="2"/>
  <c r="F28" i="2"/>
  <c r="E28" i="2"/>
  <c r="O28" i="2" s="1"/>
  <c r="D28" i="2"/>
  <c r="C28" i="2"/>
  <c r="B28" i="2"/>
  <c r="I29" i="2"/>
  <c r="H29" i="2"/>
  <c r="G29" i="2"/>
  <c r="F29" i="2"/>
  <c r="E29" i="2"/>
  <c r="O29" i="2" s="1"/>
  <c r="D29" i="2"/>
  <c r="C29" i="2"/>
  <c r="B29" i="2"/>
  <c r="I30" i="2"/>
  <c r="H30" i="2"/>
  <c r="G30" i="2"/>
  <c r="F30" i="2"/>
  <c r="E30" i="2"/>
  <c r="O30" i="2" s="1"/>
  <c r="D30" i="2"/>
  <c r="C30" i="2"/>
  <c r="B30" i="2"/>
  <c r="I31" i="2"/>
  <c r="H31" i="2"/>
  <c r="G31" i="2"/>
  <c r="F31" i="2"/>
  <c r="E31" i="2"/>
  <c r="O31" i="2" s="1"/>
  <c r="D31" i="2"/>
  <c r="C31" i="2"/>
  <c r="B31" i="2"/>
  <c r="I32" i="2"/>
  <c r="H32" i="2"/>
  <c r="G32" i="2"/>
  <c r="F32" i="2"/>
  <c r="E32" i="2"/>
  <c r="O32" i="2" s="1"/>
  <c r="D32" i="2"/>
  <c r="C32" i="2"/>
  <c r="B32" i="2"/>
  <c r="I33" i="2"/>
  <c r="H33" i="2"/>
  <c r="G33" i="2"/>
  <c r="F33" i="2"/>
  <c r="E33" i="2"/>
  <c r="O33" i="2" s="1"/>
  <c r="D33" i="2"/>
  <c r="C33" i="2"/>
  <c r="B33" i="2"/>
  <c r="I34" i="2"/>
  <c r="H34" i="2"/>
  <c r="G34" i="2"/>
  <c r="F34" i="2"/>
  <c r="E34" i="2"/>
  <c r="O34" i="2" s="1"/>
  <c r="D34" i="2"/>
  <c r="C34" i="2"/>
  <c r="B34" i="2"/>
  <c r="I35" i="2"/>
  <c r="H35" i="2"/>
  <c r="G35" i="2"/>
  <c r="F35" i="2"/>
  <c r="E35" i="2"/>
  <c r="O35" i="2" s="1"/>
  <c r="D35" i="2"/>
  <c r="C35" i="2"/>
  <c r="B35" i="2"/>
  <c r="L35" i="2" l="1"/>
  <c r="J35" i="2"/>
  <c r="M35" i="2"/>
  <c r="K35" i="2"/>
  <c r="P35" i="2"/>
  <c r="N35" i="2"/>
  <c r="Q35" i="2"/>
  <c r="L34" i="2"/>
  <c r="J34" i="2"/>
  <c r="M34" i="2"/>
  <c r="K34" i="2"/>
  <c r="P34" i="2"/>
  <c r="N34" i="2"/>
  <c r="Q34" i="2"/>
  <c r="L33" i="2"/>
  <c r="J33" i="2"/>
  <c r="M33" i="2"/>
  <c r="K33" i="2"/>
  <c r="P33" i="2"/>
  <c r="N33" i="2"/>
  <c r="Q33" i="2"/>
  <c r="L32" i="2"/>
  <c r="J32" i="2"/>
  <c r="M32" i="2"/>
  <c r="K32" i="2"/>
  <c r="P32" i="2"/>
  <c r="N32" i="2"/>
  <c r="Q32" i="2"/>
  <c r="L31" i="2"/>
  <c r="J31" i="2"/>
  <c r="M31" i="2"/>
  <c r="K31" i="2"/>
  <c r="P31" i="2"/>
  <c r="N31" i="2"/>
  <c r="Q31" i="2"/>
  <c r="L30" i="2"/>
  <c r="J30" i="2"/>
  <c r="M30" i="2"/>
  <c r="K30" i="2"/>
  <c r="P30" i="2"/>
  <c r="N30" i="2"/>
  <c r="Q30" i="2"/>
  <c r="L29" i="2"/>
  <c r="J29" i="2"/>
  <c r="M29" i="2"/>
  <c r="K29" i="2"/>
  <c r="P29" i="2"/>
  <c r="N29" i="2"/>
  <c r="Q29" i="2"/>
  <c r="L28" i="2"/>
  <c r="J28" i="2"/>
  <c r="M28" i="2"/>
  <c r="K28" i="2"/>
  <c r="P28" i="2"/>
  <c r="N28" i="2"/>
  <c r="Q28" i="2"/>
  <c r="L27" i="2"/>
  <c r="J27" i="2"/>
  <c r="M27" i="2"/>
  <c r="K27" i="2"/>
  <c r="P27" i="2"/>
  <c r="N27" i="2"/>
  <c r="Q27" i="2"/>
  <c r="L26" i="2"/>
  <c r="J26" i="2"/>
  <c r="M26" i="2"/>
  <c r="K26" i="2"/>
  <c r="P26" i="2"/>
  <c r="N26" i="2"/>
  <c r="Q26" i="2"/>
  <c r="L25" i="2"/>
  <c r="J25" i="2"/>
  <c r="M25" i="2"/>
  <c r="K25" i="2"/>
  <c r="P25" i="2"/>
  <c r="N25" i="2"/>
  <c r="Q25" i="2"/>
  <c r="L24" i="2"/>
  <c r="J24" i="2"/>
  <c r="M24" i="2"/>
  <c r="K24" i="2"/>
  <c r="P24" i="2"/>
  <c r="N24" i="2"/>
  <c r="Q24" i="2"/>
  <c r="L23" i="2"/>
  <c r="J23" i="2"/>
  <c r="M23" i="2"/>
  <c r="K23" i="2"/>
  <c r="P23" i="2"/>
  <c r="N23" i="2"/>
  <c r="Q23" i="2"/>
  <c r="L22" i="2"/>
  <c r="J22" i="2"/>
  <c r="M22" i="2"/>
  <c r="K22" i="2"/>
  <c r="P22" i="2"/>
  <c r="N22" i="2"/>
  <c r="Q22" i="2"/>
  <c r="L21" i="2"/>
  <c r="J21" i="2"/>
  <c r="M21" i="2"/>
  <c r="K21" i="2"/>
  <c r="P21" i="2"/>
  <c r="N21" i="2"/>
  <c r="Q21" i="2"/>
  <c r="L20" i="2"/>
  <c r="J20" i="2"/>
  <c r="M20" i="2"/>
  <c r="K20" i="2"/>
  <c r="P20" i="2"/>
  <c r="N20" i="2"/>
  <c r="Q20" i="2"/>
  <c r="L19" i="2"/>
  <c r="J19" i="2"/>
  <c r="M19" i="2"/>
  <c r="K19" i="2"/>
  <c r="P19" i="2"/>
  <c r="N19" i="2"/>
  <c r="Q19" i="2"/>
  <c r="L18" i="2"/>
  <c r="J18" i="2"/>
  <c r="M18" i="2"/>
  <c r="K18" i="2"/>
  <c r="P18" i="2"/>
  <c r="N18" i="2"/>
  <c r="Q18" i="2"/>
  <c r="L17" i="2"/>
  <c r="J17" i="2"/>
  <c r="M17" i="2"/>
  <c r="K17" i="2"/>
  <c r="P17" i="2"/>
  <c r="N17" i="2"/>
  <c r="Q17" i="2"/>
  <c r="L16" i="2"/>
  <c r="J16" i="2"/>
  <c r="M16" i="2"/>
  <c r="K16" i="2"/>
  <c r="P16" i="2"/>
  <c r="N16" i="2"/>
  <c r="Q16" i="2"/>
  <c r="L15" i="2"/>
  <c r="J15" i="2"/>
  <c r="M15" i="2"/>
  <c r="K15" i="2"/>
  <c r="P15" i="2"/>
  <c r="N15" i="2"/>
  <c r="Q15" i="2"/>
  <c r="L14" i="2"/>
  <c r="J14" i="2"/>
  <c r="M14" i="2"/>
  <c r="K14" i="2"/>
  <c r="P14" i="2"/>
  <c r="N14" i="2"/>
  <c r="Q14" i="2"/>
  <c r="B36" i="2"/>
  <c r="B37" i="2" s="1"/>
  <c r="L13" i="2"/>
  <c r="L36" i="2" s="1"/>
  <c r="J13" i="2"/>
  <c r="J36" i="2" s="1"/>
  <c r="C36" i="2"/>
  <c r="C37" i="2" s="1"/>
  <c r="M13" i="2"/>
  <c r="M36" i="2" s="1"/>
  <c r="K13" i="2"/>
  <c r="K36" i="2" s="1"/>
  <c r="D36" i="2"/>
  <c r="D37" i="2" s="1"/>
  <c r="E36" i="2"/>
  <c r="E37" i="2" s="1"/>
  <c r="O13" i="2"/>
  <c r="O36" i="2" s="1"/>
  <c r="F36" i="2"/>
  <c r="F37" i="2" s="1"/>
  <c r="P13" i="2"/>
  <c r="P36" i="2" s="1"/>
  <c r="N13" i="2"/>
  <c r="N36" i="2" s="1"/>
  <c r="G36" i="2"/>
  <c r="G37" i="2" s="1"/>
  <c r="H36" i="2"/>
  <c r="H37" i="2" s="1"/>
  <c r="I36" i="2"/>
  <c r="I37" i="2" s="1"/>
  <c r="Q13" i="2"/>
  <c r="Q36" i="2" s="1"/>
  <c r="M9" i="1"/>
  <c r="O9" i="1"/>
  <c r="L9" i="1"/>
  <c r="P9" i="1"/>
  <c r="R9" i="1"/>
</calcChain>
</file>

<file path=xl/sharedStrings.xml><?xml version="1.0" encoding="utf-8"?>
<sst xmlns="http://schemas.openxmlformats.org/spreadsheetml/2006/main" count="100" uniqueCount="66">
  <si>
    <t>PAVAN JAIN S AND CO |CHARTERED ACCOUNTANTS</t>
  </si>
  <si>
    <t>AIS/TIS/26AS/BOOKS COMPARATIVE TOOL</t>
  </si>
  <si>
    <t>NAME OF THE CLIENT</t>
  </si>
  <si>
    <t>SHREE KANKANII ISPAT LLP</t>
  </si>
  <si>
    <t>ASSESSMENT YEAR</t>
  </si>
  <si>
    <t>2026-27</t>
  </si>
  <si>
    <t>FINANCIAL YEAR</t>
  </si>
  <si>
    <t>2025-26</t>
  </si>
  <si>
    <t>PREPARED BY</t>
  </si>
  <si>
    <t>Monish Guptha</t>
  </si>
  <si>
    <t>Nature of Transactions</t>
  </si>
  <si>
    <t>Name of Party</t>
  </si>
  <si>
    <t>26AS</t>
  </si>
  <si>
    <t>AIS</t>
  </si>
  <si>
    <t>TIS</t>
  </si>
  <si>
    <t>Books</t>
  </si>
  <si>
    <t>Difference</t>
  </si>
  <si>
    <t>Does the difference tantamounts to short declaration in Books?</t>
  </si>
  <si>
    <t>Action</t>
  </si>
  <si>
    <t>Remarks</t>
  </si>
  <si>
    <t>Gross Value</t>
  </si>
  <si>
    <t>TDS/TCS</t>
  </si>
  <si>
    <t>26AS/AIS</t>
  </si>
  <si>
    <t>26AS/TIS</t>
  </si>
  <si>
    <t>AIS/TIS</t>
  </si>
  <si>
    <t>Books/AIS</t>
  </si>
  <si>
    <t>94A - Interest Receipts</t>
  </si>
  <si>
    <t>NA</t>
  </si>
  <si>
    <t>94C - Contract Receipts</t>
  </si>
  <si>
    <t>94H - Commission Receipts</t>
  </si>
  <si>
    <t>206CL - TCS Purchases</t>
  </si>
  <si>
    <t>GST Sales</t>
  </si>
  <si>
    <t>GST Purchases</t>
  </si>
  <si>
    <t>AIS/TIS/26AS/BOOKS COMPARATIVE SUMMARY</t>
  </si>
  <si>
    <t>Books/TIS</t>
  </si>
  <si>
    <t>TOTAL</t>
  </si>
  <si>
    <t>2021-22</t>
  </si>
  <si>
    <t>92B - Salaries Receipts</t>
  </si>
  <si>
    <t>Yes</t>
  </si>
  <si>
    <t>2022-23</t>
  </si>
  <si>
    <t>Hitanshi</t>
  </si>
  <si>
    <t>No</t>
  </si>
  <si>
    <t>2023-24</t>
  </si>
  <si>
    <t>94JA - Technical Receipts</t>
  </si>
  <si>
    <t>Hari</t>
  </si>
  <si>
    <t>2024-25</t>
  </si>
  <si>
    <t>94JB - Professional Receipts</t>
  </si>
  <si>
    <t>Harshita</t>
  </si>
  <si>
    <t>Can't Say</t>
  </si>
  <si>
    <t xml:space="preserve">94IA - Rent Receipts (P &amp; M) </t>
  </si>
  <si>
    <t>PJS</t>
  </si>
  <si>
    <t xml:space="preserve">94IB - Rent Receipts (L &amp; B) </t>
  </si>
  <si>
    <t>Others</t>
  </si>
  <si>
    <t>Divya</t>
  </si>
  <si>
    <t>94Q - Purchases</t>
  </si>
  <si>
    <t>94L - Property Transactions</t>
  </si>
  <si>
    <t>Purchase of Securities</t>
  </si>
  <si>
    <t>Sale of Securities</t>
  </si>
  <si>
    <t>Advance Tax</t>
  </si>
  <si>
    <t>Cash Deposits</t>
  </si>
  <si>
    <t>Cash Withdrawals</t>
  </si>
  <si>
    <t>SAT</t>
  </si>
  <si>
    <t>206CJ - TCS Purchases</t>
  </si>
  <si>
    <t>206CE - TCS Purchases</t>
  </si>
  <si>
    <t>206CR-TCS Purchases</t>
  </si>
  <si>
    <t>94N - Cash Withdrawals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</si>
</sst>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_ * #,##0.00_ ;_ * \-#,##0.00_ ;_ * \-??_ ;_ @_ "/>
  </numFmts>
  <fonts count="11" x14ac:knownFonts="1">
    <font>
      <sz val="11"/>
      <color theme="1"/>
      <name val="Calibri"/>
      <family val="2"/>
      <charset val="1"/>
    </font>
    <font>
      <b/>
      <sz val="15"/>
      <color theme="3"/>
      <name val="Calibri"/>
      <family val="2"/>
      <charset val="1"/>
    </font>
    <font>
      <b/>
      <sz val="12"/>
      <color rgb="FFFA7D00"/>
      <name val="Calibri"/>
      <family val="2"/>
      <charset val="1"/>
    </font>
    <font>
      <b/>
      <sz val="11"/>
      <color theme="3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0000FF"/>
      <name val="Calibri"/>
      <charset val="1"/>
    </font>
    <font>
      <sz val="11"/>
      <color rgb="FF333333"/>
      <name val="Segoe UI"/>
      <family val="2"/>
      <charset val="1"/>
    </font>
    <font>
      <sz val="11"/>
      <color rgb="FF333333"/>
      <name val="Calibri"/>
      <family val="2"/>
      <charset val="1"/>
    </font>
    <font>
      <b/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2F2F2"/>
      </patternFill>
    </fill>
    <fill>
      <patternFill patternType="solid">
        <fgColor theme="8" tint="0.79989013336588644"/>
        <bgColor rgb="FFF2F2F2"/>
      </patternFill>
    </fill>
    <fill>
      <patternFill patternType="solid">
        <fgColor rgb="FFF2F2F2"/>
        <bgColor rgb="FFDEEBF7"/>
      </patternFill>
    </fill>
    <fill>
      <patternFill patternType="solid">
        <fgColor rgb="FFFFEB9C"/>
        <bgColor rgb="FFFFFFCC"/>
      </patternFill>
    </fill>
    <fill>
      <patternFill patternType="solid">
        <fgColor theme="5" tint="0.59987182226020086"/>
        <bgColor rgb="FFFFC7CE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DEEBF7"/>
      </patternFill>
    </fill>
    <fill>
      <patternFill patternType="solid">
        <fgColor theme="7" tint="0.39988402966399123"/>
        <bgColor rgb="FFFFEB9C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ck">
        <color theme="4"/>
      </left>
      <right/>
      <top style="thick">
        <color theme="4"/>
      </top>
      <bottom style="thick">
        <color theme="4"/>
      </bottom>
      <diagonal/>
    </border>
    <border>
      <left/>
      <right/>
      <top style="thick">
        <color theme="4"/>
      </top>
      <bottom style="thick">
        <color theme="4"/>
      </bottom>
      <diagonal/>
    </border>
    <border>
      <left/>
      <right style="thick">
        <color theme="4"/>
      </right>
      <top style="thick">
        <color theme="4"/>
      </top>
      <bottom style="thick">
        <color theme="4"/>
      </bottom>
      <diagonal/>
    </border>
    <border>
      <left style="medium">
        <color theme="4" tint="0.39988402966399123"/>
      </left>
      <right/>
      <top style="medium">
        <color theme="4" tint="0.39988402966399123"/>
      </top>
      <bottom style="medium">
        <color theme="4" tint="0.39988402966399123"/>
      </bottom>
      <diagonal/>
    </border>
    <border>
      <left style="medium">
        <color theme="4" tint="0.39988402966399123"/>
      </left>
      <right style="medium">
        <color theme="4" tint="0.39988402966399123"/>
      </right>
      <top style="medium">
        <color theme="4" tint="0.39988402966399123"/>
      </top>
      <bottom style="medium">
        <color theme="4" tint="0.3998840296639912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theme="4" tint="0.39988402966399123"/>
      </left>
      <right style="medium">
        <color theme="4" tint="0.39988402966399123"/>
      </right>
      <top style="medium">
        <color theme="4" tint="0.39988402966399123"/>
      </top>
      <bottom/>
      <diagonal/>
    </border>
    <border>
      <left style="medium">
        <color theme="4" tint="0.39988402966399123"/>
      </left>
      <right/>
      <top style="medium">
        <color theme="4" tint="0.39988402966399123"/>
      </top>
      <bottom/>
      <diagonal/>
    </border>
    <border>
      <left style="medium">
        <color theme="4" tint="0.39988402966399123"/>
      </left>
      <right style="medium">
        <color theme="4" tint="0.39988402966399123"/>
      </right>
      <top/>
      <bottom style="medium">
        <color theme="4" tint="0.39988402966399123"/>
      </bottom>
      <diagonal/>
    </border>
    <border>
      <left style="medium">
        <color theme="4" tint="0.39988402966399123"/>
      </left>
      <right style="medium">
        <color theme="4" tint="0.39988402966399123"/>
      </right>
      <top/>
      <bottom/>
      <diagonal/>
    </border>
    <border>
      <left style="thick">
        <color theme="8" tint="0.39988402966399123"/>
      </left>
      <right style="thick">
        <color theme="8" tint="0.39988402966399123"/>
      </right>
      <top style="thick">
        <color theme="8" tint="0.39988402966399123"/>
      </top>
      <bottom style="thick">
        <color theme="8" tint="0.39988402966399123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6" fillId="8" borderId="8" xfId="0" applyFont="1" applyFill="1" applyBorder="1" applyAlignment="1">
      <alignment horizontal="center"/>
    </xf>
    <xf numFmtId="0" fontId="6" fillId="8" borderId="6" xfId="0" applyFont="1" applyFill="1" applyBorder="1" applyAlignment="1">
      <alignment horizontal="center"/>
    </xf>
    <xf numFmtId="0" fontId="0" fillId="0" borderId="0" xfId="0" applyProtection="1">
      <protection locked="0"/>
    </xf>
    <xf numFmtId="0" fontId="1" fillId="2" borderId="1" xfId="0" applyFont="1" applyFill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3" borderId="5" xfId="0" applyFill="1" applyBorder="1"/>
    <xf numFmtId="0" fontId="0" fillId="3" borderId="6" xfId="0" applyFill="1" applyBorder="1"/>
    <xf numFmtId="164" fontId="2" fillId="4" borderId="7" xfId="0" applyNumberFormat="1" applyFont="1" applyFill="1" applyBorder="1" applyProtection="1">
      <protection locked="0"/>
    </xf>
    <xf numFmtId="0" fontId="6" fillId="8" borderId="9" xfId="0" applyFont="1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0" borderId="6" xfId="0" applyBorder="1" applyProtection="1">
      <protection locked="0"/>
    </xf>
    <xf numFmtId="49" fontId="0" fillId="0" borderId="6" xfId="0" applyNumberFormat="1" applyBorder="1" applyAlignment="1" applyProtection="1">
      <alignment horizontal="left" wrapText="1"/>
      <protection locked="0"/>
    </xf>
    <xf numFmtId="164" fontId="7" fillId="0" borderId="6" xfId="0" applyNumberFormat="1" applyFont="1" applyBorder="1" applyProtection="1">
      <protection locked="0"/>
    </xf>
    <xf numFmtId="164" fontId="0" fillId="0" borderId="6" xfId="0" applyNumberFormat="1" applyBorder="1" applyProtection="1">
      <protection locked="0"/>
    </xf>
    <xf numFmtId="164" fontId="0" fillId="0" borderId="10" xfId="0" applyNumberFormat="1" applyBorder="1" applyProtection="1">
      <protection locked="0"/>
    </xf>
    <xf numFmtId="164" fontId="0" fillId="0" borderId="10" xfId="0" applyNumberFormat="1" applyBorder="1"/>
    <xf numFmtId="49" fontId="0" fillId="0" borderId="10" xfId="0" applyNumberFormat="1" applyBorder="1" applyAlignment="1" applyProtection="1">
      <alignment horizontal="justify" wrapText="1"/>
      <protection locked="0"/>
    </xf>
    <xf numFmtId="49" fontId="8" fillId="0" borderId="6" xfId="0" applyNumberFormat="1" applyFont="1" applyBorder="1" applyAlignment="1" applyProtection="1">
      <alignment horizontal="left" wrapText="1"/>
      <protection locked="0"/>
    </xf>
    <xf numFmtId="164" fontId="0" fillId="9" borderId="6" xfId="0" applyNumberFormat="1" applyFill="1" applyBorder="1" applyProtection="1">
      <protection locked="0"/>
    </xf>
    <xf numFmtId="164" fontId="0" fillId="9" borderId="10" xfId="0" applyNumberFormat="1" applyFill="1" applyBorder="1" applyProtection="1">
      <protection locked="0"/>
    </xf>
    <xf numFmtId="49" fontId="0" fillId="0" borderId="6" xfId="0" applyNumberFormat="1" applyBorder="1" applyAlignment="1" applyProtection="1">
      <alignment horizontal="justify" wrapText="1"/>
      <protection locked="0"/>
    </xf>
    <xf numFmtId="0" fontId="0" fillId="0" borderId="8" xfId="0" applyBorder="1" applyProtection="1">
      <protection locked="0"/>
    </xf>
    <xf numFmtId="49" fontId="8" fillId="0" borderId="8" xfId="0" applyNumberFormat="1" applyFont="1" applyBorder="1" applyAlignment="1" applyProtection="1">
      <alignment horizontal="left" wrapText="1"/>
      <protection locked="0"/>
    </xf>
    <xf numFmtId="164" fontId="0" fillId="9" borderId="8" xfId="0" applyNumberFormat="1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164" fontId="0" fillId="0" borderId="11" xfId="0" applyNumberFormat="1" applyBorder="1"/>
    <xf numFmtId="49" fontId="0" fillId="0" borderId="8" xfId="0" applyNumberFormat="1" applyBorder="1" applyAlignment="1" applyProtection="1">
      <alignment horizontal="justify" wrapText="1"/>
      <protection locked="0"/>
    </xf>
    <xf numFmtId="0" fontId="0" fillId="0" borderId="12" xfId="0" applyBorder="1" applyProtection="1">
      <protection locked="0"/>
    </xf>
    <xf numFmtId="49" fontId="8" fillId="0" borderId="12" xfId="0" applyNumberFormat="1" applyFont="1" applyBorder="1" applyAlignment="1" applyProtection="1">
      <alignment horizontal="left" wrapText="1"/>
      <protection locked="0"/>
    </xf>
    <xf numFmtId="164" fontId="0" fillId="9" borderId="12" xfId="0" applyNumberFormat="1" applyFill="1" applyBorder="1" applyProtection="1">
      <protection locked="0"/>
    </xf>
    <xf numFmtId="164" fontId="0" fillId="0" borderId="12" xfId="0" applyNumberFormat="1" applyBorder="1" applyProtection="1">
      <protection locked="0"/>
    </xf>
    <xf numFmtId="164" fontId="0" fillId="0" borderId="12" xfId="0" applyNumberFormat="1" applyBorder="1"/>
    <xf numFmtId="49" fontId="0" fillId="0" borderId="12" xfId="0" applyNumberFormat="1" applyBorder="1" applyAlignment="1" applyProtection="1">
      <alignment horizontal="justify" wrapText="1"/>
      <protection locked="0"/>
    </xf>
    <xf numFmtId="0" fontId="9" fillId="0" borderId="12" xfId="0" applyFont="1" applyBorder="1"/>
    <xf numFmtId="49" fontId="0" fillId="0" borderId="12" xfId="0" applyNumberFormat="1" applyBorder="1" applyAlignment="1" applyProtection="1">
      <alignment horizontal="left" wrapText="1"/>
      <protection locked="0"/>
    </xf>
    <xf numFmtId="0" fontId="0" fillId="0" borderId="6" xfId="0" applyBorder="1"/>
    <xf numFmtId="164" fontId="0" fillId="0" borderId="6" xfId="0" applyNumberFormat="1" applyBorder="1"/>
    <xf numFmtId="164" fontId="0" fillId="0" borderId="5" xfId="0" applyNumberFormat="1" applyBorder="1"/>
    <xf numFmtId="0" fontId="10" fillId="0" borderId="6" xfId="0" applyFont="1" applyBorder="1"/>
    <xf numFmtId="164" fontId="10" fillId="0" borderId="6" xfId="0" applyNumberFormat="1" applyFont="1" applyBorder="1"/>
    <xf numFmtId="164" fontId="10" fillId="0" borderId="5" xfId="0" applyNumberFormat="1" applyFont="1" applyBorder="1"/>
    <xf numFmtId="165" fontId="0" fillId="0" borderId="0" xfId="0" applyNumberFormat="1"/>
    <xf numFmtId="0" fontId="5" fillId="7" borderId="6" xfId="0" applyFont="1" applyFill="1" applyBorder="1" applyAlignment="1">
      <alignment horizontal="center" wrapText="1"/>
    </xf>
    <xf numFmtId="0" fontId="5" fillId="7" borderId="6" xfId="0" applyFont="1" applyFill="1" applyBorder="1" applyAlignment="1">
      <alignment horizontal="center"/>
    </xf>
    <xf numFmtId="0" fontId="6" fillId="8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4" fillId="6" borderId="6" xfId="0" applyFont="1" applyFill="1" applyBorder="1" applyAlignment="1">
      <alignment horizontal="center"/>
    </xf>
    <xf numFmtId="0" fontId="0" fillId="3" borderId="6" xfId="0" applyFill="1" applyBorder="1" applyAlignment="1" applyProtection="1">
      <alignment horizontal="left"/>
      <protection locked="0"/>
    </xf>
    <xf numFmtId="0" fontId="3" fillId="3" borderId="8" xfId="0" applyFont="1" applyFill="1" applyBorder="1" applyAlignment="1">
      <alignment horizontal="center"/>
    </xf>
    <xf numFmtId="0" fontId="6" fillId="8" borderId="8" xfId="0" applyFont="1" applyFill="1" applyBorder="1" applyAlignment="1">
      <alignment horizontal="center"/>
    </xf>
    <xf numFmtId="0" fontId="0" fillId="3" borderId="6" xfId="0" applyFill="1" applyBorder="1" applyAlignment="1">
      <alignment horizontal="left"/>
    </xf>
    <xf numFmtId="0" fontId="3" fillId="3" borderId="6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8FAADC"/>
      <rgbColor rgb="FF993366"/>
      <rgbColor rgb="FFFFFFCC"/>
      <rgbColor rgb="FFDE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DC3E6"/>
      <rgbColor rgb="FFFF99CC"/>
      <rgbColor rgb="FFCC99FF"/>
      <rgbColor rgb="FFF8CBAD"/>
      <rgbColor rgb="FF4472C4"/>
      <rgbColor rgb="FF33CCCC"/>
      <rgbColor rgb="FF99CC00"/>
      <rgbColor rgb="FFFFD966"/>
      <rgbColor rgb="FFFF9900"/>
      <rgbColor rgb="FFFA7D00"/>
      <rgbColor rgb="FF44546A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6"/>
  <sheetViews>
    <sheetView tabSelected="1" zoomScale="85" zoomScaleNormal="85" workbookViewId="0">
      <selection activeCell="B5" sqref="B5:D5"/>
    </sheetView>
  </sheetViews>
  <sheetFormatPr defaultColWidth="8.88671875" defaultRowHeight="14.4" x14ac:dyDescent="0.3"/>
  <cols>
    <col min="1" max="1" width="27.5546875" style="3" customWidth="1"/>
    <col min="2" max="2" width="69.6640625" style="3" customWidth="1"/>
    <col min="3" max="18" width="22.6640625" style="3" customWidth="1"/>
    <col min="19" max="19" width="31.6640625" style="3" customWidth="1"/>
    <col min="20" max="20" width="13.5546875" style="3" customWidth="1"/>
    <col min="21" max="21" width="33.5546875" style="3" customWidth="1"/>
    <col min="22" max="16384" width="8.88671875" style="3"/>
  </cols>
  <sheetData>
    <row r="1" spans="1:21" ht="19.5" customHeight="1" x14ac:dyDescent="0.4">
      <c r="A1" s="4" t="s">
        <v>0</v>
      </c>
      <c r="B1" s="4"/>
      <c r="C1" s="4"/>
      <c r="D1" s="4"/>
    </row>
    <row r="2" spans="1:21" ht="15.75" customHeight="1" x14ac:dyDescent="0.3"/>
    <row r="3" spans="1:21" ht="21" customHeight="1" x14ac:dyDescent="0.4">
      <c r="A3" s="5" t="s">
        <v>1</v>
      </c>
      <c r="B3" s="6"/>
      <c r="C3" s="7"/>
    </row>
    <row r="4" spans="1:21" ht="16.5" customHeight="1" x14ac:dyDescent="0.3"/>
    <row r="5" spans="1:21" ht="15.75" customHeight="1" x14ac:dyDescent="0.3">
      <c r="A5" s="8" t="s">
        <v>2</v>
      </c>
      <c r="B5" s="51"/>
      <c r="C5" s="51"/>
      <c r="D5" s="51"/>
    </row>
    <row r="6" spans="1:21" ht="15.75" customHeight="1" x14ac:dyDescent="0.3">
      <c r="A6" s="9" t="s">
        <v>4</v>
      </c>
      <c r="B6" s="51" t="s">
        <v>5</v>
      </c>
      <c r="C6" s="51"/>
      <c r="D6" s="51"/>
    </row>
    <row r="7" spans="1:21" ht="15.75" customHeight="1" x14ac:dyDescent="0.3">
      <c r="A7" s="9" t="s">
        <v>6</v>
      </c>
      <c r="B7" s="51" t="s">
        <v>7</v>
      </c>
      <c r="C7" s="51"/>
      <c r="D7" s="51"/>
    </row>
    <row r="8" spans="1:21" ht="15.75" customHeight="1" x14ac:dyDescent="0.3">
      <c r="A8" s="9" t="s">
        <v>8</v>
      </c>
      <c r="B8" s="51" t="s">
        <v>9</v>
      </c>
      <c r="C8" s="51"/>
      <c r="D8" s="51"/>
    </row>
    <row r="9" spans="1:21" ht="16.5" customHeight="1" x14ac:dyDescent="0.3">
      <c r="C9" s="10">
        <f t="shared" ref="C9:R9" si="0">SUBTOTAL(9,C12:C65)</f>
        <v>0</v>
      </c>
      <c r="D9" s="10">
        <f t="shared" si="0"/>
        <v>0</v>
      </c>
      <c r="E9" s="10">
        <f t="shared" si="0"/>
        <v>0</v>
      </c>
      <c r="F9" s="10">
        <f t="shared" si="0"/>
        <v>0</v>
      </c>
      <c r="G9" s="10">
        <f t="shared" si="0"/>
        <v>0</v>
      </c>
      <c r="H9" s="10">
        <f t="shared" si="0"/>
        <v>0</v>
      </c>
      <c r="I9" s="10">
        <f t="shared" si="0"/>
        <v>0</v>
      </c>
      <c r="J9" s="10">
        <f t="shared" si="0"/>
        <v>0</v>
      </c>
      <c r="K9" s="10">
        <f t="shared" si="0"/>
        <v>0</v>
      </c>
      <c r="L9" s="10">
        <f t="shared" si="0"/>
        <v>0</v>
      </c>
      <c r="M9" s="10">
        <f t="shared" si="0"/>
        <v>0</v>
      </c>
      <c r="N9" s="10">
        <f t="shared" si="0"/>
        <v>0</v>
      </c>
      <c r="O9" s="10">
        <f t="shared" si="0"/>
        <v>0</v>
      </c>
      <c r="P9" s="10">
        <f t="shared" si="0"/>
        <v>0</v>
      </c>
      <c r="Q9" s="10">
        <f t="shared" si="0"/>
        <v>0</v>
      </c>
      <c r="R9" s="10">
        <f t="shared" si="0"/>
        <v>0</v>
      </c>
    </row>
    <row r="10" spans="1:21" ht="15.75" customHeight="1" x14ac:dyDescent="0.3">
      <c r="A10" s="52" t="s">
        <v>10</v>
      </c>
      <c r="B10" s="52" t="s">
        <v>11</v>
      </c>
      <c r="C10" s="48" t="s">
        <v>12</v>
      </c>
      <c r="D10" s="48"/>
      <c r="E10" s="48" t="s">
        <v>13</v>
      </c>
      <c r="F10" s="48"/>
      <c r="G10" s="48" t="s">
        <v>14</v>
      </c>
      <c r="H10" s="48"/>
      <c r="I10" s="49" t="s">
        <v>15</v>
      </c>
      <c r="J10" s="49"/>
      <c r="K10" s="50" t="s">
        <v>16</v>
      </c>
      <c r="L10" s="50"/>
      <c r="M10" s="50"/>
      <c r="N10" s="50"/>
      <c r="O10" s="50"/>
      <c r="P10" s="50"/>
      <c r="Q10" s="50"/>
      <c r="R10" s="50"/>
      <c r="S10" s="45" t="s">
        <v>17</v>
      </c>
      <c r="T10" s="45" t="s">
        <v>18</v>
      </c>
      <c r="U10" s="46" t="s">
        <v>19</v>
      </c>
    </row>
    <row r="11" spans="1:21" ht="15" customHeight="1" x14ac:dyDescent="0.3">
      <c r="A11" s="52"/>
      <c r="B11" s="52"/>
      <c r="C11" s="1" t="s">
        <v>20</v>
      </c>
      <c r="D11" s="1" t="s">
        <v>21</v>
      </c>
      <c r="E11" s="1" t="s">
        <v>20</v>
      </c>
      <c r="F11" s="1" t="s">
        <v>21</v>
      </c>
      <c r="G11" s="1" t="s">
        <v>20</v>
      </c>
      <c r="H11" s="11" t="s">
        <v>21</v>
      </c>
      <c r="I11" s="2" t="s">
        <v>20</v>
      </c>
      <c r="J11" s="12" t="s">
        <v>21</v>
      </c>
      <c r="K11" s="47" t="s">
        <v>22</v>
      </c>
      <c r="L11" s="47"/>
      <c r="M11" s="47" t="s">
        <v>23</v>
      </c>
      <c r="N11" s="47"/>
      <c r="O11" s="47" t="s">
        <v>24</v>
      </c>
      <c r="P11" s="47"/>
      <c r="Q11" s="47" t="s">
        <v>25</v>
      </c>
      <c r="R11" s="47"/>
      <c r="S11" s="45"/>
      <c r="T11" s="45"/>
      <c r="U11" s="45"/>
    </row>
    <row r="12" spans="1:21" ht="15.75" customHeight="1" x14ac:dyDescent="0.3">
      <c r="A12" s="13"/>
      <c r="B12" s="14"/>
      <c r="C12" s="15"/>
      <c r="D12" s="15"/>
      <c r="E12" s="15"/>
      <c r="F12" s="15"/>
      <c r="G12" s="15"/>
      <c r="H12" s="16"/>
      <c r="I12" s="17"/>
      <c r="J12" s="17"/>
      <c r="K12" s="18">
        <f t="shared" ref="K12:K43" si="1">ROUND(IF(OR(C12="NA",E12="NA"),0,IF(AND(C12&gt;0,E12&gt;0),(C12-E12),0)),-1)</f>
        <v>0</v>
      </c>
      <c r="L12" s="18">
        <f t="shared" ref="L12:L43" si="2">ROUND(IF(OR(D12="NA",F12="NA"),0,IF(AND(D12&gt;0,F12&gt;0),(D12-F12),0)),-1)</f>
        <v>0</v>
      </c>
      <c r="M12" s="18">
        <f t="shared" ref="M12:M43" si="3">ROUND(IF(OR(C12="NA",G12="NA"),0,IF(AND(C12&gt;=0,G12&gt;=0),(C12-G12),0)),-1)</f>
        <v>0</v>
      </c>
      <c r="N12" s="18">
        <f t="shared" ref="N12:N43" si="4">ROUND(IF(OR(D12="NA",H12="NA"),0,IF(AND(D12&gt;=0,H12&gt;=0),(D12-H12),0)),-1)</f>
        <v>0</v>
      </c>
      <c r="O12" s="18">
        <f t="shared" ref="O12:O43" si="5">ROUND(IF(OR(E12="NA",G12="NA"),0,IF(AND(G12&gt;=0,E12&gt;=0),(E12-G12),0)),-1)</f>
        <v>0</v>
      </c>
      <c r="P12" s="18">
        <f t="shared" ref="P12:P43" si="6">ROUND(IF(OR(F12="NA",H12="NA"),0,IF(AND(F12&gt;=0,H12&gt;=0),(F12-H12),0)),-1)</f>
        <v>0</v>
      </c>
      <c r="Q12" s="18">
        <f t="shared" ref="Q12:Q43" si="7">ROUND(IF(OR(E12="NA",I12="",I12="NA"),0,IF(AND(E12&gt;=0,I12&gt;=0,E12&gt;I12),(E12-I12),0)),-1)</f>
        <v>0</v>
      </c>
      <c r="R12" s="18">
        <f t="shared" ref="R12:R43" si="8">ROUND(IF(OR(F12="NA",J12="",J12="NA"),0,IF(AND(J12&gt;=0,F12&gt;=0),(J12-F12),0)),-1)</f>
        <v>0</v>
      </c>
      <c r="S12" s="17"/>
      <c r="T12" s="18" t="str">
        <f t="shared" ref="T12:T43" si="9">IF(S12="Yes","Report","No Action")</f>
        <v>No Action</v>
      </c>
      <c r="U12" s="19"/>
    </row>
    <row r="13" spans="1:21" ht="15.75" customHeight="1" x14ac:dyDescent="0.3">
      <c r="A13" s="13"/>
      <c r="B13" s="14"/>
      <c r="C13" s="15"/>
      <c r="D13" s="15"/>
      <c r="E13" s="15"/>
      <c r="F13" s="16"/>
      <c r="G13" s="16"/>
      <c r="H13" s="16"/>
      <c r="I13" s="17"/>
      <c r="J13" s="17"/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8">
        <f t="shared" si="6"/>
        <v>0</v>
      </c>
      <c r="Q13" s="18">
        <f t="shared" si="7"/>
        <v>0</v>
      </c>
      <c r="R13" s="18">
        <f t="shared" si="8"/>
        <v>0</v>
      </c>
      <c r="S13" s="17"/>
      <c r="T13" s="18" t="str">
        <f t="shared" si="9"/>
        <v>No Action</v>
      </c>
      <c r="U13" s="19"/>
    </row>
    <row r="14" spans="1:21" ht="15.75" customHeight="1" x14ac:dyDescent="0.3">
      <c r="A14" s="13"/>
      <c r="B14" s="14"/>
      <c r="C14" s="15"/>
      <c r="D14" s="15"/>
      <c r="E14" s="15"/>
      <c r="F14" s="16"/>
      <c r="G14" s="16"/>
      <c r="H14" s="16"/>
      <c r="I14" s="17"/>
      <c r="J14" s="17"/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8">
        <f t="shared" si="6"/>
        <v>0</v>
      </c>
      <c r="Q14" s="18">
        <f t="shared" si="7"/>
        <v>0</v>
      </c>
      <c r="R14" s="18">
        <f t="shared" si="8"/>
        <v>0</v>
      </c>
      <c r="S14" s="17"/>
      <c r="T14" s="18" t="str">
        <f t="shared" si="9"/>
        <v>No Action</v>
      </c>
      <c r="U14" s="19"/>
    </row>
    <row r="15" spans="1:21" ht="15.75" customHeight="1" x14ac:dyDescent="0.3">
      <c r="A15" s="13"/>
      <c r="B15" s="14"/>
      <c r="C15" s="15"/>
      <c r="D15" s="15"/>
      <c r="E15" s="15"/>
      <c r="F15" s="16"/>
      <c r="G15" s="16"/>
      <c r="H15" s="16"/>
      <c r="I15" s="17"/>
      <c r="J15" s="17"/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8">
        <f t="shared" si="6"/>
        <v>0</v>
      </c>
      <c r="Q15" s="18">
        <f t="shared" si="7"/>
        <v>0</v>
      </c>
      <c r="R15" s="18">
        <f t="shared" si="8"/>
        <v>0</v>
      </c>
      <c r="S15" s="17"/>
      <c r="T15" s="18" t="str">
        <f t="shared" si="9"/>
        <v>No Action</v>
      </c>
      <c r="U15" s="19"/>
    </row>
    <row r="16" spans="1:21" ht="15.75" customHeight="1" x14ac:dyDescent="0.3">
      <c r="A16" s="13"/>
      <c r="B16" s="14"/>
      <c r="C16" s="15"/>
      <c r="D16" s="15"/>
      <c r="E16" s="15"/>
      <c r="F16" s="16"/>
      <c r="G16" s="16"/>
      <c r="H16" s="16"/>
      <c r="I16" s="17"/>
      <c r="J16" s="17"/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8">
        <f t="shared" si="6"/>
        <v>0</v>
      </c>
      <c r="Q16" s="18">
        <f t="shared" si="7"/>
        <v>0</v>
      </c>
      <c r="R16" s="18">
        <f t="shared" si="8"/>
        <v>0</v>
      </c>
      <c r="S16" s="17"/>
      <c r="T16" s="18" t="str">
        <f t="shared" si="9"/>
        <v>No Action</v>
      </c>
      <c r="U16" s="19"/>
    </row>
    <row r="17" spans="1:21" ht="15.75" customHeight="1" x14ac:dyDescent="0.3">
      <c r="A17" s="13"/>
      <c r="B17" s="14"/>
      <c r="C17" s="15"/>
      <c r="D17" s="15"/>
      <c r="E17" s="15"/>
      <c r="F17" s="16"/>
      <c r="G17" s="16"/>
      <c r="H17" s="16"/>
      <c r="I17" s="17"/>
      <c r="J17" s="17"/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8">
        <f t="shared" si="6"/>
        <v>0</v>
      </c>
      <c r="Q17" s="18">
        <f t="shared" si="7"/>
        <v>0</v>
      </c>
      <c r="R17" s="18">
        <f t="shared" si="8"/>
        <v>0</v>
      </c>
      <c r="S17" s="17"/>
      <c r="T17" s="18" t="str">
        <f t="shared" si="9"/>
        <v>No Action</v>
      </c>
      <c r="U17" s="19"/>
    </row>
    <row r="18" spans="1:21" ht="15.75" customHeight="1" x14ac:dyDescent="0.3">
      <c r="A18" s="13"/>
      <c r="B18" s="14"/>
      <c r="C18" s="15"/>
      <c r="D18" s="15"/>
      <c r="E18" s="15"/>
      <c r="F18" s="16"/>
      <c r="G18" s="16"/>
      <c r="H18" s="16"/>
      <c r="I18" s="17"/>
      <c r="J18" s="17"/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8">
        <f t="shared" si="6"/>
        <v>0</v>
      </c>
      <c r="Q18" s="18">
        <f t="shared" si="7"/>
        <v>0</v>
      </c>
      <c r="R18" s="18">
        <f t="shared" si="8"/>
        <v>0</v>
      </c>
      <c r="S18" s="17"/>
      <c r="T18" s="18" t="str">
        <f t="shared" si="9"/>
        <v>No Action</v>
      </c>
      <c r="U18" s="19"/>
    </row>
    <row r="19" spans="1:21" ht="15.75" customHeight="1" x14ac:dyDescent="0.3">
      <c r="A19" s="13"/>
      <c r="B19" s="14"/>
      <c r="C19" s="15"/>
      <c r="D19" s="15"/>
      <c r="E19" s="15"/>
      <c r="F19" s="16"/>
      <c r="G19" s="16"/>
      <c r="H19" s="16"/>
      <c r="I19" s="17"/>
      <c r="J19" s="17"/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8">
        <f t="shared" si="6"/>
        <v>0</v>
      </c>
      <c r="Q19" s="18">
        <f t="shared" si="7"/>
        <v>0</v>
      </c>
      <c r="R19" s="18">
        <f t="shared" si="8"/>
        <v>0</v>
      </c>
      <c r="S19" s="17"/>
      <c r="T19" s="18" t="str">
        <f t="shared" si="9"/>
        <v>No Action</v>
      </c>
      <c r="U19" s="19"/>
    </row>
    <row r="20" spans="1:21" ht="15.75" customHeight="1" x14ac:dyDescent="0.3">
      <c r="A20" s="13"/>
      <c r="B20" s="14"/>
      <c r="C20" s="15"/>
      <c r="D20" s="15"/>
      <c r="E20" s="15"/>
      <c r="F20" s="16"/>
      <c r="G20" s="16"/>
      <c r="H20" s="16"/>
      <c r="I20" s="17"/>
      <c r="J20" s="17"/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8">
        <f t="shared" si="6"/>
        <v>0</v>
      </c>
      <c r="Q20" s="18">
        <f t="shared" si="7"/>
        <v>0</v>
      </c>
      <c r="R20" s="18">
        <f t="shared" si="8"/>
        <v>0</v>
      </c>
      <c r="S20" s="17"/>
      <c r="T20" s="18" t="str">
        <f t="shared" si="9"/>
        <v>No Action</v>
      </c>
      <c r="U20" s="19"/>
    </row>
    <row r="21" spans="1:21" ht="15.75" customHeight="1" x14ac:dyDescent="0.3">
      <c r="A21" s="13"/>
      <c r="B21" s="14"/>
      <c r="C21" s="15"/>
      <c r="D21" s="15"/>
      <c r="E21" s="15"/>
      <c r="F21" s="16"/>
      <c r="G21" s="16"/>
      <c r="H21" s="16"/>
      <c r="I21" s="17"/>
      <c r="J21" s="17"/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8">
        <f t="shared" si="6"/>
        <v>0</v>
      </c>
      <c r="Q21" s="18">
        <f t="shared" si="7"/>
        <v>0</v>
      </c>
      <c r="R21" s="18">
        <f t="shared" si="8"/>
        <v>0</v>
      </c>
      <c r="S21" s="17"/>
      <c r="T21" s="18" t="str">
        <f t="shared" si="9"/>
        <v>No Action</v>
      </c>
      <c r="U21" s="19"/>
    </row>
    <row r="22" spans="1:21" ht="15.75" customHeight="1" x14ac:dyDescent="0.3">
      <c r="A22" s="13"/>
      <c r="B22" s="14"/>
      <c r="C22" s="15"/>
      <c r="D22" s="15"/>
      <c r="E22" s="15"/>
      <c r="F22" s="16"/>
      <c r="G22" s="16"/>
      <c r="H22" s="16"/>
      <c r="I22" s="17"/>
      <c r="J22" s="17"/>
      <c r="K22" s="18">
        <f t="shared" si="1"/>
        <v>0</v>
      </c>
      <c r="L22" s="18">
        <f t="shared" si="2"/>
        <v>0</v>
      </c>
      <c r="M22" s="18">
        <f t="shared" si="3"/>
        <v>0</v>
      </c>
      <c r="N22" s="18">
        <f t="shared" si="4"/>
        <v>0</v>
      </c>
      <c r="O22" s="18">
        <f t="shared" si="5"/>
        <v>0</v>
      </c>
      <c r="P22" s="18">
        <f t="shared" si="6"/>
        <v>0</v>
      </c>
      <c r="Q22" s="18">
        <f t="shared" si="7"/>
        <v>0</v>
      </c>
      <c r="R22" s="18">
        <f t="shared" si="8"/>
        <v>0</v>
      </c>
      <c r="S22" s="17"/>
      <c r="T22" s="18" t="str">
        <f t="shared" si="9"/>
        <v>No Action</v>
      </c>
      <c r="U22" s="19"/>
    </row>
    <row r="23" spans="1:21" ht="15.75" customHeight="1" x14ac:dyDescent="0.3">
      <c r="A23" s="13"/>
      <c r="B23" s="14"/>
      <c r="C23" s="15"/>
      <c r="D23" s="15"/>
      <c r="E23" s="15"/>
      <c r="F23" s="16"/>
      <c r="G23" s="16"/>
      <c r="H23" s="16"/>
      <c r="I23" s="17"/>
      <c r="J23" s="17"/>
      <c r="K23" s="18">
        <f t="shared" si="1"/>
        <v>0</v>
      </c>
      <c r="L23" s="18">
        <f t="shared" si="2"/>
        <v>0</v>
      </c>
      <c r="M23" s="18">
        <f t="shared" si="3"/>
        <v>0</v>
      </c>
      <c r="N23" s="18">
        <f t="shared" si="4"/>
        <v>0</v>
      </c>
      <c r="O23" s="18">
        <f t="shared" si="5"/>
        <v>0</v>
      </c>
      <c r="P23" s="18">
        <f t="shared" si="6"/>
        <v>0</v>
      </c>
      <c r="Q23" s="18">
        <f t="shared" si="7"/>
        <v>0</v>
      </c>
      <c r="R23" s="18">
        <f t="shared" si="8"/>
        <v>0</v>
      </c>
      <c r="S23" s="17"/>
      <c r="T23" s="18" t="str">
        <f t="shared" si="9"/>
        <v>No Action</v>
      </c>
      <c r="U23" s="19"/>
    </row>
    <row r="24" spans="1:21" ht="15.75" customHeight="1" x14ac:dyDescent="0.3">
      <c r="A24" s="13"/>
      <c r="B24" s="14"/>
      <c r="C24" s="15"/>
      <c r="D24" s="15"/>
      <c r="E24" s="15"/>
      <c r="F24" s="16"/>
      <c r="G24" s="16"/>
      <c r="H24" s="16"/>
      <c r="I24" s="17"/>
      <c r="J24" s="17"/>
      <c r="K24" s="18">
        <f t="shared" si="1"/>
        <v>0</v>
      </c>
      <c r="L24" s="18">
        <f t="shared" si="2"/>
        <v>0</v>
      </c>
      <c r="M24" s="18">
        <f t="shared" si="3"/>
        <v>0</v>
      </c>
      <c r="N24" s="18">
        <f t="shared" si="4"/>
        <v>0</v>
      </c>
      <c r="O24" s="18">
        <f t="shared" si="5"/>
        <v>0</v>
      </c>
      <c r="P24" s="18">
        <f t="shared" si="6"/>
        <v>0</v>
      </c>
      <c r="Q24" s="18">
        <f t="shared" si="7"/>
        <v>0</v>
      </c>
      <c r="R24" s="18">
        <f t="shared" si="8"/>
        <v>0</v>
      </c>
      <c r="S24" s="17"/>
      <c r="T24" s="18" t="str">
        <f t="shared" si="9"/>
        <v>No Action</v>
      </c>
      <c r="U24" s="19"/>
    </row>
    <row r="25" spans="1:21" ht="15.75" customHeight="1" x14ac:dyDescent="0.3">
      <c r="A25" s="13"/>
      <c r="B25" s="14"/>
      <c r="C25" s="15"/>
      <c r="D25" s="15"/>
      <c r="E25" s="15"/>
      <c r="F25" s="16"/>
      <c r="G25" s="16"/>
      <c r="H25" s="16"/>
      <c r="I25" s="17"/>
      <c r="J25" s="17"/>
      <c r="K25" s="18">
        <f t="shared" si="1"/>
        <v>0</v>
      </c>
      <c r="L25" s="18">
        <f t="shared" si="2"/>
        <v>0</v>
      </c>
      <c r="M25" s="18">
        <f t="shared" si="3"/>
        <v>0</v>
      </c>
      <c r="N25" s="18">
        <f t="shared" si="4"/>
        <v>0</v>
      </c>
      <c r="O25" s="18">
        <f t="shared" si="5"/>
        <v>0</v>
      </c>
      <c r="P25" s="18">
        <f t="shared" si="6"/>
        <v>0</v>
      </c>
      <c r="Q25" s="18">
        <f t="shared" si="7"/>
        <v>0</v>
      </c>
      <c r="R25" s="18">
        <f t="shared" si="8"/>
        <v>0</v>
      </c>
      <c r="S25" s="17"/>
      <c r="T25" s="18" t="str">
        <f t="shared" si="9"/>
        <v>No Action</v>
      </c>
      <c r="U25" s="19"/>
    </row>
    <row r="26" spans="1:21" ht="15.75" customHeight="1" x14ac:dyDescent="0.3">
      <c r="A26" s="13"/>
      <c r="B26" s="14"/>
      <c r="C26" s="15"/>
      <c r="D26" s="15"/>
      <c r="E26" s="15"/>
      <c r="F26" s="16"/>
      <c r="G26" s="16"/>
      <c r="H26" s="16"/>
      <c r="I26" s="17"/>
      <c r="J26" s="17"/>
      <c r="K26" s="18">
        <f t="shared" si="1"/>
        <v>0</v>
      </c>
      <c r="L26" s="18">
        <f t="shared" si="2"/>
        <v>0</v>
      </c>
      <c r="M26" s="18">
        <f t="shared" si="3"/>
        <v>0</v>
      </c>
      <c r="N26" s="18">
        <f t="shared" si="4"/>
        <v>0</v>
      </c>
      <c r="O26" s="18">
        <f t="shared" si="5"/>
        <v>0</v>
      </c>
      <c r="P26" s="18">
        <f t="shared" si="6"/>
        <v>0</v>
      </c>
      <c r="Q26" s="18">
        <f t="shared" si="7"/>
        <v>0</v>
      </c>
      <c r="R26" s="18">
        <f t="shared" si="8"/>
        <v>0</v>
      </c>
      <c r="S26" s="17"/>
      <c r="T26" s="18" t="str">
        <f t="shared" si="9"/>
        <v>No Action</v>
      </c>
      <c r="U26" s="19"/>
    </row>
    <row r="27" spans="1:21" ht="15.75" customHeight="1" x14ac:dyDescent="0.3">
      <c r="A27" s="13"/>
      <c r="B27" s="14"/>
      <c r="C27" s="15"/>
      <c r="D27" s="15"/>
      <c r="E27" s="15"/>
      <c r="F27" s="16"/>
      <c r="G27" s="16"/>
      <c r="H27" s="16"/>
      <c r="I27" s="17"/>
      <c r="J27" s="17"/>
      <c r="K27" s="18">
        <f t="shared" si="1"/>
        <v>0</v>
      </c>
      <c r="L27" s="18">
        <f t="shared" si="2"/>
        <v>0</v>
      </c>
      <c r="M27" s="18">
        <f t="shared" si="3"/>
        <v>0</v>
      </c>
      <c r="N27" s="18">
        <f t="shared" si="4"/>
        <v>0</v>
      </c>
      <c r="O27" s="18">
        <f t="shared" si="5"/>
        <v>0</v>
      </c>
      <c r="P27" s="18">
        <f t="shared" si="6"/>
        <v>0</v>
      </c>
      <c r="Q27" s="18">
        <f t="shared" si="7"/>
        <v>0</v>
      </c>
      <c r="R27" s="18">
        <f t="shared" si="8"/>
        <v>0</v>
      </c>
      <c r="S27" s="17"/>
      <c r="T27" s="18" t="str">
        <f t="shared" si="9"/>
        <v>No Action</v>
      </c>
      <c r="U27" s="19"/>
    </row>
    <row r="28" spans="1:21" ht="15.75" customHeight="1" x14ac:dyDescent="0.3">
      <c r="A28" s="13"/>
      <c r="B28" s="14"/>
      <c r="C28" s="15"/>
      <c r="D28" s="15"/>
      <c r="E28" s="15"/>
      <c r="F28" s="16"/>
      <c r="G28" s="16"/>
      <c r="H28" s="16"/>
      <c r="I28" s="17"/>
      <c r="J28" s="17"/>
      <c r="K28" s="18">
        <f t="shared" si="1"/>
        <v>0</v>
      </c>
      <c r="L28" s="18">
        <f t="shared" si="2"/>
        <v>0</v>
      </c>
      <c r="M28" s="18">
        <f t="shared" si="3"/>
        <v>0</v>
      </c>
      <c r="N28" s="18">
        <f t="shared" si="4"/>
        <v>0</v>
      </c>
      <c r="O28" s="18">
        <f t="shared" si="5"/>
        <v>0</v>
      </c>
      <c r="P28" s="18">
        <f t="shared" si="6"/>
        <v>0</v>
      </c>
      <c r="Q28" s="18">
        <f t="shared" si="7"/>
        <v>0</v>
      </c>
      <c r="R28" s="18">
        <f t="shared" si="8"/>
        <v>0</v>
      </c>
      <c r="S28" s="17"/>
      <c r="T28" s="18" t="str">
        <f t="shared" si="9"/>
        <v>No Action</v>
      </c>
      <c r="U28" s="19"/>
    </row>
    <row r="29" spans="1:21" ht="15.75" customHeight="1" x14ac:dyDescent="0.3">
      <c r="A29" s="13"/>
      <c r="B29" s="14"/>
      <c r="C29" s="15"/>
      <c r="D29" s="15"/>
      <c r="E29" s="15"/>
      <c r="F29" s="16"/>
      <c r="G29" s="16"/>
      <c r="H29" s="16"/>
      <c r="I29" s="17"/>
      <c r="J29" s="17"/>
      <c r="K29" s="18">
        <f t="shared" si="1"/>
        <v>0</v>
      </c>
      <c r="L29" s="18">
        <f t="shared" si="2"/>
        <v>0</v>
      </c>
      <c r="M29" s="18">
        <f t="shared" si="3"/>
        <v>0</v>
      </c>
      <c r="N29" s="18">
        <f t="shared" si="4"/>
        <v>0</v>
      </c>
      <c r="O29" s="18">
        <f t="shared" si="5"/>
        <v>0</v>
      </c>
      <c r="P29" s="18">
        <f t="shared" si="6"/>
        <v>0</v>
      </c>
      <c r="Q29" s="18">
        <f t="shared" si="7"/>
        <v>0</v>
      </c>
      <c r="R29" s="18">
        <f t="shared" si="8"/>
        <v>0</v>
      </c>
      <c r="S29" s="17"/>
      <c r="T29" s="18" t="str">
        <f t="shared" si="9"/>
        <v>No Action</v>
      </c>
      <c r="U29" s="19"/>
    </row>
    <row r="30" spans="1:21" ht="15.75" customHeight="1" x14ac:dyDescent="0.3">
      <c r="A30" s="13"/>
      <c r="B30" s="14"/>
      <c r="C30" s="15"/>
      <c r="D30" s="15"/>
      <c r="E30" s="15"/>
      <c r="F30" s="16"/>
      <c r="G30" s="16"/>
      <c r="H30" s="16"/>
      <c r="I30" s="17"/>
      <c r="J30" s="17"/>
      <c r="K30" s="18">
        <f t="shared" si="1"/>
        <v>0</v>
      </c>
      <c r="L30" s="18">
        <f t="shared" si="2"/>
        <v>0</v>
      </c>
      <c r="M30" s="18">
        <f t="shared" si="3"/>
        <v>0</v>
      </c>
      <c r="N30" s="18">
        <f t="shared" si="4"/>
        <v>0</v>
      </c>
      <c r="O30" s="18">
        <f t="shared" si="5"/>
        <v>0</v>
      </c>
      <c r="P30" s="18">
        <f t="shared" si="6"/>
        <v>0</v>
      </c>
      <c r="Q30" s="18">
        <f t="shared" si="7"/>
        <v>0</v>
      </c>
      <c r="R30" s="18">
        <f t="shared" si="8"/>
        <v>0</v>
      </c>
      <c r="S30" s="17"/>
      <c r="T30" s="18" t="str">
        <f t="shared" si="9"/>
        <v>No Action</v>
      </c>
      <c r="U30" s="19"/>
    </row>
    <row r="31" spans="1:21" ht="15.75" customHeight="1" x14ac:dyDescent="0.3">
      <c r="A31" s="13"/>
      <c r="B31" s="14"/>
      <c r="C31" s="15"/>
      <c r="D31" s="15"/>
      <c r="E31" s="15"/>
      <c r="F31" s="16"/>
      <c r="G31" s="16"/>
      <c r="H31" s="16"/>
      <c r="I31" s="17"/>
      <c r="J31" s="17"/>
      <c r="K31" s="18">
        <f t="shared" si="1"/>
        <v>0</v>
      </c>
      <c r="L31" s="18">
        <f t="shared" si="2"/>
        <v>0</v>
      </c>
      <c r="M31" s="18">
        <f t="shared" si="3"/>
        <v>0</v>
      </c>
      <c r="N31" s="18">
        <f t="shared" si="4"/>
        <v>0</v>
      </c>
      <c r="O31" s="18">
        <f t="shared" si="5"/>
        <v>0</v>
      </c>
      <c r="P31" s="18">
        <f t="shared" si="6"/>
        <v>0</v>
      </c>
      <c r="Q31" s="18">
        <f t="shared" si="7"/>
        <v>0</v>
      </c>
      <c r="R31" s="18">
        <f t="shared" si="8"/>
        <v>0</v>
      </c>
      <c r="S31" s="17"/>
      <c r="T31" s="18" t="str">
        <f t="shared" si="9"/>
        <v>No Action</v>
      </c>
      <c r="U31" s="19"/>
    </row>
    <row r="32" spans="1:21" ht="15.75" customHeight="1" x14ac:dyDescent="0.3">
      <c r="A32" s="13"/>
      <c r="B32" s="14"/>
      <c r="C32" s="15"/>
      <c r="D32" s="15"/>
      <c r="E32" s="15"/>
      <c r="F32" s="16"/>
      <c r="G32" s="16"/>
      <c r="H32" s="16"/>
      <c r="I32" s="17"/>
      <c r="J32" s="17"/>
      <c r="K32" s="18">
        <f t="shared" si="1"/>
        <v>0</v>
      </c>
      <c r="L32" s="18">
        <f t="shared" si="2"/>
        <v>0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8">
        <f t="shared" si="6"/>
        <v>0</v>
      </c>
      <c r="Q32" s="18">
        <f t="shared" si="7"/>
        <v>0</v>
      </c>
      <c r="R32" s="18">
        <f t="shared" si="8"/>
        <v>0</v>
      </c>
      <c r="S32" s="17"/>
      <c r="T32" s="18" t="str">
        <f t="shared" si="9"/>
        <v>No Action</v>
      </c>
      <c r="U32" s="19"/>
    </row>
    <row r="33" spans="1:21" ht="15.75" customHeight="1" x14ac:dyDescent="0.3">
      <c r="A33" s="13"/>
      <c r="B33" s="14"/>
      <c r="C33" s="15"/>
      <c r="D33" s="15"/>
      <c r="E33" s="15"/>
      <c r="F33" s="16"/>
      <c r="G33" s="16"/>
      <c r="H33" s="16"/>
      <c r="I33" s="17"/>
      <c r="J33" s="17"/>
      <c r="K33" s="18">
        <f t="shared" si="1"/>
        <v>0</v>
      </c>
      <c r="L33" s="18">
        <f t="shared" si="2"/>
        <v>0</v>
      </c>
      <c r="M33" s="18">
        <f t="shared" si="3"/>
        <v>0</v>
      </c>
      <c r="N33" s="18">
        <f t="shared" si="4"/>
        <v>0</v>
      </c>
      <c r="O33" s="18">
        <f t="shared" si="5"/>
        <v>0</v>
      </c>
      <c r="P33" s="18">
        <f t="shared" si="6"/>
        <v>0</v>
      </c>
      <c r="Q33" s="18">
        <f t="shared" si="7"/>
        <v>0</v>
      </c>
      <c r="R33" s="18">
        <f t="shared" si="8"/>
        <v>0</v>
      </c>
      <c r="S33" s="17"/>
      <c r="T33" s="18" t="str">
        <f t="shared" si="9"/>
        <v>No Action</v>
      </c>
      <c r="U33" s="19"/>
    </row>
    <row r="34" spans="1:21" ht="15.75" customHeight="1" x14ac:dyDescent="0.3">
      <c r="A34" s="13"/>
      <c r="B34" s="14"/>
      <c r="C34" s="15"/>
      <c r="D34" s="15"/>
      <c r="E34" s="15"/>
      <c r="F34" s="16"/>
      <c r="G34" s="16"/>
      <c r="H34" s="16"/>
      <c r="I34" s="17"/>
      <c r="J34" s="17"/>
      <c r="K34" s="18">
        <f t="shared" si="1"/>
        <v>0</v>
      </c>
      <c r="L34" s="18">
        <f t="shared" si="2"/>
        <v>0</v>
      </c>
      <c r="M34" s="18">
        <f t="shared" si="3"/>
        <v>0</v>
      </c>
      <c r="N34" s="18">
        <f t="shared" si="4"/>
        <v>0</v>
      </c>
      <c r="O34" s="18">
        <f t="shared" si="5"/>
        <v>0</v>
      </c>
      <c r="P34" s="18">
        <f t="shared" si="6"/>
        <v>0</v>
      </c>
      <c r="Q34" s="18">
        <f t="shared" si="7"/>
        <v>0</v>
      </c>
      <c r="R34" s="18">
        <f t="shared" si="8"/>
        <v>0</v>
      </c>
      <c r="S34" s="17"/>
      <c r="T34" s="18" t="str">
        <f t="shared" si="9"/>
        <v>No Action</v>
      </c>
      <c r="U34" s="19"/>
    </row>
    <row r="35" spans="1:21" ht="15.75" customHeight="1" x14ac:dyDescent="0.3">
      <c r="A35" s="13"/>
      <c r="B35" s="14"/>
      <c r="C35" s="15"/>
      <c r="D35" s="15"/>
      <c r="E35" s="15"/>
      <c r="F35" s="16"/>
      <c r="G35" s="16"/>
      <c r="H35" s="16"/>
      <c r="I35" s="17"/>
      <c r="J35" s="17"/>
      <c r="K35" s="18">
        <f t="shared" si="1"/>
        <v>0</v>
      </c>
      <c r="L35" s="18">
        <f t="shared" si="2"/>
        <v>0</v>
      </c>
      <c r="M35" s="18">
        <f t="shared" si="3"/>
        <v>0</v>
      </c>
      <c r="N35" s="18">
        <f t="shared" si="4"/>
        <v>0</v>
      </c>
      <c r="O35" s="18">
        <f t="shared" si="5"/>
        <v>0</v>
      </c>
      <c r="P35" s="18">
        <f t="shared" si="6"/>
        <v>0</v>
      </c>
      <c r="Q35" s="18">
        <f t="shared" si="7"/>
        <v>0</v>
      </c>
      <c r="R35" s="18">
        <f t="shared" si="8"/>
        <v>0</v>
      </c>
      <c r="S35" s="17"/>
      <c r="T35" s="18" t="str">
        <f t="shared" si="9"/>
        <v>No Action</v>
      </c>
      <c r="U35" s="19"/>
    </row>
    <row r="36" spans="1:21" ht="15.75" customHeight="1" x14ac:dyDescent="0.3">
      <c r="A36" s="13"/>
      <c r="B36" s="14"/>
      <c r="C36" s="15"/>
      <c r="D36" s="15"/>
      <c r="E36" s="15"/>
      <c r="F36" s="16"/>
      <c r="G36" s="16"/>
      <c r="H36" s="16"/>
      <c r="I36" s="17"/>
      <c r="J36" s="17"/>
      <c r="K36" s="18">
        <f t="shared" si="1"/>
        <v>0</v>
      </c>
      <c r="L36" s="18">
        <f t="shared" si="2"/>
        <v>0</v>
      </c>
      <c r="M36" s="18">
        <f t="shared" si="3"/>
        <v>0</v>
      </c>
      <c r="N36" s="18">
        <f t="shared" si="4"/>
        <v>0</v>
      </c>
      <c r="O36" s="18">
        <f t="shared" si="5"/>
        <v>0</v>
      </c>
      <c r="P36" s="18">
        <f t="shared" si="6"/>
        <v>0</v>
      </c>
      <c r="Q36" s="18">
        <f t="shared" si="7"/>
        <v>0</v>
      </c>
      <c r="R36" s="18">
        <f t="shared" si="8"/>
        <v>0</v>
      </c>
      <c r="S36" s="17"/>
      <c r="T36" s="18" t="str">
        <f t="shared" si="9"/>
        <v>No Action</v>
      </c>
      <c r="U36" s="19"/>
    </row>
    <row r="37" spans="1:21" ht="15.75" customHeight="1" x14ac:dyDescent="0.3">
      <c r="A37" s="13"/>
      <c r="B37" s="14"/>
      <c r="C37" s="15"/>
      <c r="D37" s="15"/>
      <c r="E37" s="15"/>
      <c r="F37" s="16"/>
      <c r="G37" s="16"/>
      <c r="H37" s="16"/>
      <c r="I37" s="17"/>
      <c r="J37" s="17"/>
      <c r="K37" s="18">
        <f t="shared" si="1"/>
        <v>0</v>
      </c>
      <c r="L37" s="18">
        <f t="shared" si="2"/>
        <v>0</v>
      </c>
      <c r="M37" s="18">
        <f t="shared" si="3"/>
        <v>0</v>
      </c>
      <c r="N37" s="18">
        <f t="shared" si="4"/>
        <v>0</v>
      </c>
      <c r="O37" s="18">
        <f t="shared" si="5"/>
        <v>0</v>
      </c>
      <c r="P37" s="18">
        <f t="shared" si="6"/>
        <v>0</v>
      </c>
      <c r="Q37" s="18">
        <f t="shared" si="7"/>
        <v>0</v>
      </c>
      <c r="R37" s="18">
        <f t="shared" si="8"/>
        <v>0</v>
      </c>
      <c r="S37" s="17"/>
      <c r="T37" s="18" t="str">
        <f t="shared" si="9"/>
        <v>No Action</v>
      </c>
      <c r="U37" s="19"/>
    </row>
    <row r="38" spans="1:21" ht="15.75" customHeight="1" x14ac:dyDescent="0.3">
      <c r="A38" s="13"/>
      <c r="B38" s="14"/>
      <c r="C38" s="15"/>
      <c r="D38" s="15"/>
      <c r="E38" s="15"/>
      <c r="F38" s="16"/>
      <c r="G38" s="16"/>
      <c r="H38" s="16"/>
      <c r="I38" s="17"/>
      <c r="J38" s="17"/>
      <c r="K38" s="18">
        <f t="shared" si="1"/>
        <v>0</v>
      </c>
      <c r="L38" s="18">
        <f t="shared" si="2"/>
        <v>0</v>
      </c>
      <c r="M38" s="18">
        <f t="shared" si="3"/>
        <v>0</v>
      </c>
      <c r="N38" s="18">
        <f t="shared" si="4"/>
        <v>0</v>
      </c>
      <c r="O38" s="18">
        <f t="shared" si="5"/>
        <v>0</v>
      </c>
      <c r="P38" s="18">
        <f t="shared" si="6"/>
        <v>0</v>
      </c>
      <c r="Q38" s="18">
        <f t="shared" si="7"/>
        <v>0</v>
      </c>
      <c r="R38" s="18">
        <f t="shared" si="8"/>
        <v>0</v>
      </c>
      <c r="S38" s="17"/>
      <c r="T38" s="18" t="str">
        <f t="shared" si="9"/>
        <v>No Action</v>
      </c>
      <c r="U38" s="19"/>
    </row>
    <row r="39" spans="1:21" ht="15.75" customHeight="1" x14ac:dyDescent="0.3">
      <c r="A39" s="13"/>
      <c r="B39" s="14"/>
      <c r="C39" s="15"/>
      <c r="D39" s="15"/>
      <c r="E39" s="15"/>
      <c r="F39" s="16"/>
      <c r="G39" s="16"/>
      <c r="H39" s="16"/>
      <c r="I39" s="17"/>
      <c r="J39" s="17"/>
      <c r="K39" s="18">
        <f t="shared" si="1"/>
        <v>0</v>
      </c>
      <c r="L39" s="18">
        <f t="shared" si="2"/>
        <v>0</v>
      </c>
      <c r="M39" s="18">
        <f t="shared" si="3"/>
        <v>0</v>
      </c>
      <c r="N39" s="18">
        <f t="shared" si="4"/>
        <v>0</v>
      </c>
      <c r="O39" s="18">
        <f t="shared" si="5"/>
        <v>0</v>
      </c>
      <c r="P39" s="18">
        <f t="shared" si="6"/>
        <v>0</v>
      </c>
      <c r="Q39" s="18">
        <f t="shared" si="7"/>
        <v>0</v>
      </c>
      <c r="R39" s="18">
        <f t="shared" si="8"/>
        <v>0</v>
      </c>
      <c r="S39" s="17"/>
      <c r="T39" s="18" t="str">
        <f t="shared" si="9"/>
        <v>No Action</v>
      </c>
      <c r="U39" s="19"/>
    </row>
    <row r="40" spans="1:21" ht="15.75" customHeight="1" x14ac:dyDescent="0.3">
      <c r="A40" s="13"/>
      <c r="B40" s="14"/>
      <c r="C40" s="15"/>
      <c r="D40" s="15"/>
      <c r="E40" s="15"/>
      <c r="F40" s="16"/>
      <c r="G40" s="16"/>
      <c r="H40" s="16"/>
      <c r="I40" s="17"/>
      <c r="J40" s="17"/>
      <c r="K40" s="18">
        <f t="shared" si="1"/>
        <v>0</v>
      </c>
      <c r="L40" s="18">
        <f t="shared" si="2"/>
        <v>0</v>
      </c>
      <c r="M40" s="18">
        <f t="shared" si="3"/>
        <v>0</v>
      </c>
      <c r="N40" s="18">
        <f t="shared" si="4"/>
        <v>0</v>
      </c>
      <c r="O40" s="18">
        <f t="shared" si="5"/>
        <v>0</v>
      </c>
      <c r="P40" s="18">
        <f t="shared" si="6"/>
        <v>0</v>
      </c>
      <c r="Q40" s="18">
        <f t="shared" si="7"/>
        <v>0</v>
      </c>
      <c r="R40" s="18">
        <f t="shared" si="8"/>
        <v>0</v>
      </c>
      <c r="S40" s="17"/>
      <c r="T40" s="18" t="str">
        <f t="shared" si="9"/>
        <v>No Action</v>
      </c>
      <c r="U40" s="19"/>
    </row>
    <row r="41" spans="1:21" ht="15.75" customHeight="1" x14ac:dyDescent="0.3">
      <c r="A41" s="13"/>
      <c r="B41" s="14"/>
      <c r="C41" s="15"/>
      <c r="D41" s="15"/>
      <c r="E41" s="15"/>
      <c r="F41" s="16"/>
      <c r="G41" s="16"/>
      <c r="H41" s="16"/>
      <c r="I41" s="17"/>
      <c r="J41" s="17"/>
      <c r="K41" s="18">
        <f t="shared" si="1"/>
        <v>0</v>
      </c>
      <c r="L41" s="18">
        <f t="shared" si="2"/>
        <v>0</v>
      </c>
      <c r="M41" s="18">
        <f t="shared" si="3"/>
        <v>0</v>
      </c>
      <c r="N41" s="18">
        <f t="shared" si="4"/>
        <v>0</v>
      </c>
      <c r="O41" s="18">
        <f t="shared" si="5"/>
        <v>0</v>
      </c>
      <c r="P41" s="18">
        <f t="shared" si="6"/>
        <v>0</v>
      </c>
      <c r="Q41" s="18">
        <f t="shared" si="7"/>
        <v>0</v>
      </c>
      <c r="R41" s="18">
        <f t="shared" si="8"/>
        <v>0</v>
      </c>
      <c r="S41" s="17"/>
      <c r="T41" s="18" t="str">
        <f t="shared" si="9"/>
        <v>No Action</v>
      </c>
      <c r="U41" s="19"/>
    </row>
    <row r="42" spans="1:21" ht="15.75" customHeight="1" x14ac:dyDescent="0.3">
      <c r="A42" s="13"/>
      <c r="B42" s="14"/>
      <c r="C42" s="15"/>
      <c r="D42" s="15"/>
      <c r="E42" s="15"/>
      <c r="F42" s="16"/>
      <c r="G42" s="16"/>
      <c r="H42" s="16"/>
      <c r="I42" s="17"/>
      <c r="J42" s="17"/>
      <c r="K42" s="18">
        <f t="shared" si="1"/>
        <v>0</v>
      </c>
      <c r="L42" s="18">
        <f t="shared" si="2"/>
        <v>0</v>
      </c>
      <c r="M42" s="18">
        <f t="shared" si="3"/>
        <v>0</v>
      </c>
      <c r="N42" s="18">
        <f t="shared" si="4"/>
        <v>0</v>
      </c>
      <c r="O42" s="18">
        <f t="shared" si="5"/>
        <v>0</v>
      </c>
      <c r="P42" s="18">
        <f t="shared" si="6"/>
        <v>0</v>
      </c>
      <c r="Q42" s="18">
        <f t="shared" si="7"/>
        <v>0</v>
      </c>
      <c r="R42" s="18">
        <f t="shared" si="8"/>
        <v>0</v>
      </c>
      <c r="S42" s="17"/>
      <c r="T42" s="18" t="str">
        <f t="shared" si="9"/>
        <v>No Action</v>
      </c>
      <c r="U42" s="19"/>
    </row>
    <row r="43" spans="1:21" ht="15.75" customHeight="1" x14ac:dyDescent="0.3">
      <c r="A43" s="13"/>
      <c r="B43" s="14"/>
      <c r="C43" s="15"/>
      <c r="D43" s="15"/>
      <c r="E43" s="15"/>
      <c r="F43" s="16"/>
      <c r="G43" s="16"/>
      <c r="H43" s="16"/>
      <c r="I43" s="17"/>
      <c r="J43" s="17"/>
      <c r="K43" s="18">
        <f t="shared" si="1"/>
        <v>0</v>
      </c>
      <c r="L43" s="18">
        <f t="shared" si="2"/>
        <v>0</v>
      </c>
      <c r="M43" s="18">
        <f t="shared" si="3"/>
        <v>0</v>
      </c>
      <c r="N43" s="18">
        <f t="shared" si="4"/>
        <v>0</v>
      </c>
      <c r="O43" s="18">
        <f t="shared" si="5"/>
        <v>0</v>
      </c>
      <c r="P43" s="18">
        <f t="shared" si="6"/>
        <v>0</v>
      </c>
      <c r="Q43" s="18">
        <f t="shared" si="7"/>
        <v>0</v>
      </c>
      <c r="R43" s="18">
        <f t="shared" si="8"/>
        <v>0</v>
      </c>
      <c r="S43" s="17"/>
      <c r="T43" s="18" t="str">
        <f t="shared" si="9"/>
        <v>No Action</v>
      </c>
      <c r="U43" s="19"/>
    </row>
    <row r="44" spans="1:21" ht="15.75" customHeight="1" x14ac:dyDescent="0.3">
      <c r="A44" s="13"/>
      <c r="B44" s="14"/>
      <c r="C44" s="15"/>
      <c r="D44" s="15"/>
      <c r="E44" s="15"/>
      <c r="F44" s="16"/>
      <c r="G44" s="16"/>
      <c r="H44" s="16"/>
      <c r="I44" s="17"/>
      <c r="J44" s="17"/>
      <c r="K44" s="18">
        <f t="shared" ref="K44:K65" si="10">ROUND(IF(OR(C44="NA",E44="NA"),0,IF(AND(C44&gt;0,E44&gt;0),(C44-E44),0)),-1)</f>
        <v>0</v>
      </c>
      <c r="L44" s="18">
        <f t="shared" ref="L44:L65" si="11">ROUND(IF(OR(D44="NA",F44="NA"),0,IF(AND(D44&gt;0,F44&gt;0),(D44-F44),0)),-1)</f>
        <v>0</v>
      </c>
      <c r="M44" s="18">
        <f t="shared" ref="M44:M65" si="12">ROUND(IF(OR(C44="NA",G44="NA"),0,IF(AND(C44&gt;=0,G44&gt;=0),(C44-G44),0)),-1)</f>
        <v>0</v>
      </c>
      <c r="N44" s="18">
        <f t="shared" ref="N44:N65" si="13">ROUND(IF(OR(D44="NA",H44="NA"),0,IF(AND(D44&gt;=0,H44&gt;=0),(D44-H44),0)),-1)</f>
        <v>0</v>
      </c>
      <c r="O44" s="18">
        <f t="shared" ref="O44:O65" si="14">ROUND(IF(OR(E44="NA",G44="NA"),0,IF(AND(G44&gt;=0,E44&gt;=0),(E44-G44),0)),-1)</f>
        <v>0</v>
      </c>
      <c r="P44" s="18">
        <f t="shared" ref="P44:P65" si="15">ROUND(IF(OR(F44="NA",H44="NA"),0,IF(AND(F44&gt;=0,H44&gt;=0),(F44-H44),0)),-1)</f>
        <v>0</v>
      </c>
      <c r="Q44" s="18">
        <f t="shared" ref="Q44:Q65" si="16">ROUND(IF(OR(E44="NA",I44="",I44="NA"),0,IF(AND(E44&gt;=0,I44&gt;=0,E44&gt;I44),(E44-I44),0)),-1)</f>
        <v>0</v>
      </c>
      <c r="R44" s="18">
        <f t="shared" ref="R44:R65" si="17">ROUND(IF(OR(F44="NA",J44="",J44="NA"),0,IF(AND(J44&gt;=0,F44&gt;=0),(J44-F44),0)),-1)</f>
        <v>0</v>
      </c>
      <c r="S44" s="17"/>
      <c r="T44" s="18" t="str">
        <f t="shared" ref="T44:T65" si="18">IF(S44="Yes","Report","No Action")</f>
        <v>No Action</v>
      </c>
      <c r="U44" s="19"/>
    </row>
    <row r="45" spans="1:21" ht="17.25" customHeight="1" x14ac:dyDescent="0.3">
      <c r="A45" s="13"/>
      <c r="B45" s="14"/>
      <c r="C45" s="15"/>
      <c r="D45" s="15"/>
      <c r="E45" s="15"/>
      <c r="F45" s="16"/>
      <c r="G45" s="16"/>
      <c r="H45" s="16"/>
      <c r="I45" s="17"/>
      <c r="J45" s="17"/>
      <c r="K45" s="18">
        <f t="shared" si="10"/>
        <v>0</v>
      </c>
      <c r="L45" s="18">
        <f t="shared" si="11"/>
        <v>0</v>
      </c>
      <c r="M45" s="18">
        <f t="shared" si="12"/>
        <v>0</v>
      </c>
      <c r="N45" s="18">
        <f t="shared" si="13"/>
        <v>0</v>
      </c>
      <c r="O45" s="18">
        <f t="shared" si="14"/>
        <v>0</v>
      </c>
      <c r="P45" s="18">
        <f t="shared" si="15"/>
        <v>0</v>
      </c>
      <c r="Q45" s="18">
        <f t="shared" si="16"/>
        <v>0</v>
      </c>
      <c r="R45" s="18">
        <f t="shared" si="17"/>
        <v>0</v>
      </c>
      <c r="S45" s="17"/>
      <c r="T45" s="18" t="str">
        <f t="shared" si="18"/>
        <v>No Action</v>
      </c>
      <c r="U45" s="19"/>
    </row>
    <row r="46" spans="1:21" ht="17.25" customHeight="1" x14ac:dyDescent="0.3">
      <c r="A46" s="13"/>
      <c r="B46" s="14"/>
      <c r="C46" s="15"/>
      <c r="D46" s="15"/>
      <c r="E46" s="15"/>
      <c r="F46" s="16"/>
      <c r="G46" s="16"/>
      <c r="H46" s="16"/>
      <c r="I46" s="17"/>
      <c r="J46" s="17"/>
      <c r="K46" s="18">
        <f t="shared" si="10"/>
        <v>0</v>
      </c>
      <c r="L46" s="18">
        <f t="shared" si="11"/>
        <v>0</v>
      </c>
      <c r="M46" s="18">
        <f t="shared" si="12"/>
        <v>0</v>
      </c>
      <c r="N46" s="18">
        <f t="shared" si="13"/>
        <v>0</v>
      </c>
      <c r="O46" s="18">
        <f t="shared" si="14"/>
        <v>0</v>
      </c>
      <c r="P46" s="18">
        <f t="shared" si="15"/>
        <v>0</v>
      </c>
      <c r="Q46" s="18">
        <f t="shared" si="16"/>
        <v>0</v>
      </c>
      <c r="R46" s="18">
        <f t="shared" si="17"/>
        <v>0</v>
      </c>
      <c r="S46" s="17"/>
      <c r="T46" s="18" t="str">
        <f t="shared" si="18"/>
        <v>No Action</v>
      </c>
      <c r="U46" s="19"/>
    </row>
    <row r="47" spans="1:21" ht="17.25" customHeight="1" x14ac:dyDescent="0.3">
      <c r="A47" s="13"/>
      <c r="B47" s="14"/>
      <c r="C47" s="15"/>
      <c r="D47" s="15"/>
      <c r="E47" s="15"/>
      <c r="F47" s="16"/>
      <c r="G47" s="16"/>
      <c r="H47" s="16"/>
      <c r="I47" s="17"/>
      <c r="J47" s="17"/>
      <c r="K47" s="18">
        <f t="shared" si="10"/>
        <v>0</v>
      </c>
      <c r="L47" s="18">
        <f t="shared" si="11"/>
        <v>0</v>
      </c>
      <c r="M47" s="18">
        <f t="shared" si="12"/>
        <v>0</v>
      </c>
      <c r="N47" s="18">
        <f t="shared" si="13"/>
        <v>0</v>
      </c>
      <c r="O47" s="18">
        <f t="shared" si="14"/>
        <v>0</v>
      </c>
      <c r="P47" s="18">
        <f t="shared" si="15"/>
        <v>0</v>
      </c>
      <c r="Q47" s="18">
        <f t="shared" si="16"/>
        <v>0</v>
      </c>
      <c r="R47" s="18">
        <f t="shared" si="17"/>
        <v>0</v>
      </c>
      <c r="S47" s="17"/>
      <c r="T47" s="18" t="str">
        <f t="shared" si="18"/>
        <v>No Action</v>
      </c>
      <c r="U47" s="19"/>
    </row>
    <row r="48" spans="1:21" ht="17.25" customHeight="1" x14ac:dyDescent="0.3">
      <c r="A48" s="13"/>
      <c r="B48" s="14"/>
      <c r="C48" s="15"/>
      <c r="D48" s="15"/>
      <c r="E48" s="15"/>
      <c r="F48" s="16"/>
      <c r="G48" s="16"/>
      <c r="H48" s="16"/>
      <c r="I48" s="17"/>
      <c r="J48" s="17"/>
      <c r="K48" s="18">
        <f t="shared" si="10"/>
        <v>0</v>
      </c>
      <c r="L48" s="18">
        <f t="shared" si="11"/>
        <v>0</v>
      </c>
      <c r="M48" s="18">
        <f t="shared" si="12"/>
        <v>0</v>
      </c>
      <c r="N48" s="18">
        <f t="shared" si="13"/>
        <v>0</v>
      </c>
      <c r="O48" s="18">
        <f t="shared" si="14"/>
        <v>0</v>
      </c>
      <c r="P48" s="18">
        <f t="shared" si="15"/>
        <v>0</v>
      </c>
      <c r="Q48" s="18">
        <f t="shared" si="16"/>
        <v>0</v>
      </c>
      <c r="R48" s="18">
        <f t="shared" si="17"/>
        <v>0</v>
      </c>
      <c r="S48" s="17"/>
      <c r="T48" s="18" t="str">
        <f t="shared" si="18"/>
        <v>No Action</v>
      </c>
      <c r="U48" s="19"/>
    </row>
    <row r="49" spans="1:21" ht="17.25" customHeight="1" x14ac:dyDescent="0.3">
      <c r="A49" s="13"/>
      <c r="B49" s="14"/>
      <c r="C49" s="15"/>
      <c r="D49" s="15"/>
      <c r="E49" s="15"/>
      <c r="F49" s="16"/>
      <c r="G49" s="16"/>
      <c r="H49" s="16"/>
      <c r="I49" s="17"/>
      <c r="J49" s="17"/>
      <c r="K49" s="18">
        <f t="shared" si="10"/>
        <v>0</v>
      </c>
      <c r="L49" s="18">
        <f t="shared" si="11"/>
        <v>0</v>
      </c>
      <c r="M49" s="18">
        <f t="shared" si="12"/>
        <v>0</v>
      </c>
      <c r="N49" s="18">
        <f t="shared" si="13"/>
        <v>0</v>
      </c>
      <c r="O49" s="18">
        <f t="shared" si="14"/>
        <v>0</v>
      </c>
      <c r="P49" s="18">
        <f t="shared" si="15"/>
        <v>0</v>
      </c>
      <c r="Q49" s="18">
        <f t="shared" si="16"/>
        <v>0</v>
      </c>
      <c r="R49" s="18">
        <f t="shared" si="17"/>
        <v>0</v>
      </c>
      <c r="S49" s="17"/>
      <c r="T49" s="18" t="str">
        <f t="shared" si="18"/>
        <v>No Action</v>
      </c>
      <c r="U49" s="19"/>
    </row>
    <row r="50" spans="1:21" ht="17.25" customHeight="1" x14ac:dyDescent="0.3">
      <c r="A50" s="13"/>
      <c r="B50" s="14"/>
      <c r="C50" s="15"/>
      <c r="D50" s="15"/>
      <c r="E50" s="15"/>
      <c r="F50" s="16"/>
      <c r="G50" s="16"/>
      <c r="H50" s="16"/>
      <c r="I50" s="17"/>
      <c r="J50" s="17"/>
      <c r="K50" s="18">
        <f t="shared" si="10"/>
        <v>0</v>
      </c>
      <c r="L50" s="18">
        <f t="shared" si="11"/>
        <v>0</v>
      </c>
      <c r="M50" s="18">
        <f t="shared" si="12"/>
        <v>0</v>
      </c>
      <c r="N50" s="18">
        <f t="shared" si="13"/>
        <v>0</v>
      </c>
      <c r="O50" s="18">
        <f t="shared" si="14"/>
        <v>0</v>
      </c>
      <c r="P50" s="18">
        <f t="shared" si="15"/>
        <v>0</v>
      </c>
      <c r="Q50" s="18">
        <f t="shared" si="16"/>
        <v>0</v>
      </c>
      <c r="R50" s="18">
        <f t="shared" si="17"/>
        <v>0</v>
      </c>
      <c r="S50" s="17"/>
      <c r="T50" s="18" t="str">
        <f t="shared" si="18"/>
        <v>No Action</v>
      </c>
      <c r="U50" s="19"/>
    </row>
    <row r="51" spans="1:21" ht="17.25" customHeight="1" x14ac:dyDescent="0.3">
      <c r="A51" s="13"/>
      <c r="B51" s="14"/>
      <c r="C51" s="15"/>
      <c r="D51" s="15"/>
      <c r="E51" s="15"/>
      <c r="F51" s="16"/>
      <c r="G51" s="16"/>
      <c r="H51" s="16"/>
      <c r="I51" s="17"/>
      <c r="J51" s="17"/>
      <c r="K51" s="18">
        <f t="shared" si="10"/>
        <v>0</v>
      </c>
      <c r="L51" s="18">
        <f t="shared" si="11"/>
        <v>0</v>
      </c>
      <c r="M51" s="18">
        <f t="shared" si="12"/>
        <v>0</v>
      </c>
      <c r="N51" s="18">
        <f t="shared" si="13"/>
        <v>0</v>
      </c>
      <c r="O51" s="18">
        <f t="shared" si="14"/>
        <v>0</v>
      </c>
      <c r="P51" s="18">
        <f t="shared" si="15"/>
        <v>0</v>
      </c>
      <c r="Q51" s="18">
        <f t="shared" si="16"/>
        <v>0</v>
      </c>
      <c r="R51" s="18">
        <f t="shared" si="17"/>
        <v>0</v>
      </c>
      <c r="S51" s="17"/>
      <c r="T51" s="18" t="str">
        <f t="shared" si="18"/>
        <v>No Action</v>
      </c>
      <c r="U51" s="19"/>
    </row>
    <row r="52" spans="1:21" ht="17.25" customHeight="1" x14ac:dyDescent="0.3">
      <c r="A52" s="13"/>
      <c r="B52" s="14"/>
      <c r="C52" s="15"/>
      <c r="D52" s="15"/>
      <c r="E52" s="15"/>
      <c r="F52" s="16"/>
      <c r="G52" s="16"/>
      <c r="H52" s="16"/>
      <c r="I52" s="17"/>
      <c r="J52" s="17"/>
      <c r="K52" s="18">
        <f t="shared" si="10"/>
        <v>0</v>
      </c>
      <c r="L52" s="18">
        <f t="shared" si="11"/>
        <v>0</v>
      </c>
      <c r="M52" s="18">
        <f t="shared" si="12"/>
        <v>0</v>
      </c>
      <c r="N52" s="18">
        <f t="shared" si="13"/>
        <v>0</v>
      </c>
      <c r="O52" s="18">
        <f t="shared" si="14"/>
        <v>0</v>
      </c>
      <c r="P52" s="18">
        <f t="shared" si="15"/>
        <v>0</v>
      </c>
      <c r="Q52" s="18">
        <f t="shared" si="16"/>
        <v>0</v>
      </c>
      <c r="R52" s="18">
        <f t="shared" si="17"/>
        <v>0</v>
      </c>
      <c r="S52" s="17"/>
      <c r="T52" s="18" t="str">
        <f t="shared" si="18"/>
        <v>No Action</v>
      </c>
      <c r="U52" s="19"/>
    </row>
    <row r="53" spans="1:21" ht="17.25" customHeight="1" x14ac:dyDescent="0.3">
      <c r="A53" s="13"/>
      <c r="B53" s="14"/>
      <c r="C53" s="15"/>
      <c r="D53" s="15"/>
      <c r="E53" s="15"/>
      <c r="F53" s="16"/>
      <c r="G53" s="16"/>
      <c r="H53" s="16"/>
      <c r="I53" s="17"/>
      <c r="J53" s="17"/>
      <c r="K53" s="18">
        <f t="shared" si="10"/>
        <v>0</v>
      </c>
      <c r="L53" s="18">
        <f t="shared" si="11"/>
        <v>0</v>
      </c>
      <c r="M53" s="18">
        <f t="shared" si="12"/>
        <v>0</v>
      </c>
      <c r="N53" s="18">
        <f t="shared" si="13"/>
        <v>0</v>
      </c>
      <c r="O53" s="18">
        <f t="shared" si="14"/>
        <v>0</v>
      </c>
      <c r="P53" s="18">
        <f t="shared" si="15"/>
        <v>0</v>
      </c>
      <c r="Q53" s="18">
        <f t="shared" si="16"/>
        <v>0</v>
      </c>
      <c r="R53" s="18">
        <f t="shared" si="17"/>
        <v>0</v>
      </c>
      <c r="S53" s="17"/>
      <c r="T53" s="18" t="str">
        <f t="shared" si="18"/>
        <v>No Action</v>
      </c>
      <c r="U53" s="19"/>
    </row>
    <row r="54" spans="1:21" ht="17.25" customHeight="1" x14ac:dyDescent="0.3">
      <c r="A54" s="13"/>
      <c r="B54" s="14"/>
      <c r="C54" s="15"/>
      <c r="D54" s="15"/>
      <c r="E54" s="15"/>
      <c r="F54" s="16"/>
      <c r="G54" s="16"/>
      <c r="H54" s="16"/>
      <c r="I54" s="17"/>
      <c r="J54" s="17"/>
      <c r="K54" s="18">
        <f t="shared" si="10"/>
        <v>0</v>
      </c>
      <c r="L54" s="18">
        <f t="shared" si="11"/>
        <v>0</v>
      </c>
      <c r="M54" s="18">
        <f t="shared" si="12"/>
        <v>0</v>
      </c>
      <c r="N54" s="18">
        <f t="shared" si="13"/>
        <v>0</v>
      </c>
      <c r="O54" s="18">
        <f t="shared" si="14"/>
        <v>0</v>
      </c>
      <c r="P54" s="18">
        <f t="shared" si="15"/>
        <v>0</v>
      </c>
      <c r="Q54" s="18">
        <f t="shared" si="16"/>
        <v>0</v>
      </c>
      <c r="R54" s="18">
        <f t="shared" si="17"/>
        <v>0</v>
      </c>
      <c r="S54" s="17"/>
      <c r="T54" s="18" t="str">
        <f t="shared" si="18"/>
        <v>No Action</v>
      </c>
      <c r="U54" s="19"/>
    </row>
    <row r="55" spans="1:21" ht="17.25" customHeight="1" x14ac:dyDescent="0.3">
      <c r="A55" s="13"/>
      <c r="B55" s="14"/>
      <c r="C55" s="15"/>
      <c r="D55" s="15"/>
      <c r="E55" s="15"/>
      <c r="F55" s="16"/>
      <c r="G55" s="16"/>
      <c r="H55" s="16"/>
      <c r="I55" s="17"/>
      <c r="J55" s="17"/>
      <c r="K55" s="18">
        <f t="shared" si="10"/>
        <v>0</v>
      </c>
      <c r="L55" s="18">
        <f t="shared" si="11"/>
        <v>0</v>
      </c>
      <c r="M55" s="18">
        <f t="shared" si="12"/>
        <v>0</v>
      </c>
      <c r="N55" s="18">
        <f t="shared" si="13"/>
        <v>0</v>
      </c>
      <c r="O55" s="18">
        <f t="shared" si="14"/>
        <v>0</v>
      </c>
      <c r="P55" s="18">
        <f t="shared" si="15"/>
        <v>0</v>
      </c>
      <c r="Q55" s="18">
        <f t="shared" si="16"/>
        <v>0</v>
      </c>
      <c r="R55" s="18">
        <f t="shared" si="17"/>
        <v>0</v>
      </c>
      <c r="S55" s="17"/>
      <c r="T55" s="18" t="str">
        <f t="shared" si="18"/>
        <v>No Action</v>
      </c>
      <c r="U55" s="19"/>
    </row>
    <row r="56" spans="1:21" ht="17.25" customHeight="1" x14ac:dyDescent="0.3">
      <c r="A56" s="13"/>
      <c r="B56" s="14"/>
      <c r="C56" s="15"/>
      <c r="D56" s="15"/>
      <c r="E56" s="15"/>
      <c r="F56" s="16"/>
      <c r="G56" s="16"/>
      <c r="H56" s="16"/>
      <c r="I56" s="17"/>
      <c r="J56" s="17"/>
      <c r="K56" s="18">
        <f t="shared" si="10"/>
        <v>0</v>
      </c>
      <c r="L56" s="18">
        <f t="shared" si="11"/>
        <v>0</v>
      </c>
      <c r="M56" s="18">
        <f t="shared" si="12"/>
        <v>0</v>
      </c>
      <c r="N56" s="18">
        <f t="shared" si="13"/>
        <v>0</v>
      </c>
      <c r="O56" s="18">
        <f t="shared" si="14"/>
        <v>0</v>
      </c>
      <c r="P56" s="18">
        <f t="shared" si="15"/>
        <v>0</v>
      </c>
      <c r="Q56" s="18">
        <f t="shared" si="16"/>
        <v>0</v>
      </c>
      <c r="R56" s="18">
        <f t="shared" si="17"/>
        <v>0</v>
      </c>
      <c r="S56" s="17"/>
      <c r="T56" s="18" t="str">
        <f t="shared" si="18"/>
        <v>No Action</v>
      </c>
      <c r="U56" s="19"/>
    </row>
    <row r="57" spans="1:21" ht="17.25" customHeight="1" x14ac:dyDescent="0.3">
      <c r="A57" s="13"/>
      <c r="B57" s="14"/>
      <c r="C57" s="15"/>
      <c r="D57" s="15"/>
      <c r="E57" s="15"/>
      <c r="F57" s="16"/>
      <c r="G57" s="16"/>
      <c r="H57" s="16"/>
      <c r="I57" s="17"/>
      <c r="J57" s="17"/>
      <c r="K57" s="18">
        <f t="shared" si="10"/>
        <v>0</v>
      </c>
      <c r="L57" s="18">
        <f t="shared" si="11"/>
        <v>0</v>
      </c>
      <c r="M57" s="18">
        <f t="shared" si="12"/>
        <v>0</v>
      </c>
      <c r="N57" s="18">
        <f t="shared" si="13"/>
        <v>0</v>
      </c>
      <c r="O57" s="18">
        <f t="shared" si="14"/>
        <v>0</v>
      </c>
      <c r="P57" s="18">
        <f t="shared" si="15"/>
        <v>0</v>
      </c>
      <c r="Q57" s="18">
        <f t="shared" si="16"/>
        <v>0</v>
      </c>
      <c r="R57" s="18">
        <f t="shared" si="17"/>
        <v>0</v>
      </c>
      <c r="S57" s="17"/>
      <c r="T57" s="18" t="str">
        <f t="shared" si="18"/>
        <v>No Action</v>
      </c>
      <c r="U57" s="19"/>
    </row>
    <row r="58" spans="1:21" ht="17.25" customHeight="1" x14ac:dyDescent="0.3">
      <c r="A58" s="13"/>
      <c r="B58" s="14"/>
      <c r="C58" s="15"/>
      <c r="D58" s="15"/>
      <c r="E58" s="15"/>
      <c r="F58" s="16"/>
      <c r="G58" s="16"/>
      <c r="H58" s="16"/>
      <c r="I58" s="17"/>
      <c r="J58" s="17"/>
      <c r="K58" s="18">
        <f t="shared" si="10"/>
        <v>0</v>
      </c>
      <c r="L58" s="18">
        <f t="shared" si="11"/>
        <v>0</v>
      </c>
      <c r="M58" s="18">
        <f t="shared" si="12"/>
        <v>0</v>
      </c>
      <c r="N58" s="18">
        <f t="shared" si="13"/>
        <v>0</v>
      </c>
      <c r="O58" s="18">
        <f t="shared" si="14"/>
        <v>0</v>
      </c>
      <c r="P58" s="18">
        <f t="shared" si="15"/>
        <v>0</v>
      </c>
      <c r="Q58" s="18">
        <f t="shared" si="16"/>
        <v>0</v>
      </c>
      <c r="R58" s="18">
        <f t="shared" si="17"/>
        <v>0</v>
      </c>
      <c r="S58" s="17"/>
      <c r="T58" s="18" t="str">
        <f t="shared" si="18"/>
        <v>No Action</v>
      </c>
      <c r="U58" s="19"/>
    </row>
    <row r="59" spans="1:21" ht="17.25" customHeight="1" x14ac:dyDescent="0.3">
      <c r="A59" s="13"/>
      <c r="B59" s="14"/>
      <c r="C59" s="15"/>
      <c r="D59" s="15"/>
      <c r="E59" s="15"/>
      <c r="F59" s="16"/>
      <c r="G59" s="16"/>
      <c r="H59" s="16"/>
      <c r="I59" s="17"/>
      <c r="J59" s="17"/>
      <c r="K59" s="18">
        <f t="shared" si="10"/>
        <v>0</v>
      </c>
      <c r="L59" s="18">
        <f t="shared" si="11"/>
        <v>0</v>
      </c>
      <c r="M59" s="18">
        <f t="shared" si="12"/>
        <v>0</v>
      </c>
      <c r="N59" s="18">
        <f t="shared" si="13"/>
        <v>0</v>
      </c>
      <c r="O59" s="18">
        <f t="shared" si="14"/>
        <v>0</v>
      </c>
      <c r="P59" s="18">
        <f t="shared" si="15"/>
        <v>0</v>
      </c>
      <c r="Q59" s="18">
        <f t="shared" si="16"/>
        <v>0</v>
      </c>
      <c r="R59" s="18">
        <f t="shared" si="17"/>
        <v>0</v>
      </c>
      <c r="S59" s="17"/>
      <c r="T59" s="18" t="str">
        <f t="shared" si="18"/>
        <v>No Action</v>
      </c>
      <c r="U59" s="19"/>
    </row>
    <row r="60" spans="1:21" ht="17.25" customHeight="1" x14ac:dyDescent="0.3">
      <c r="A60" s="13"/>
      <c r="B60" s="14"/>
      <c r="C60" s="15"/>
      <c r="D60" s="15"/>
      <c r="E60" s="15"/>
      <c r="F60" s="16"/>
      <c r="G60" s="16"/>
      <c r="H60" s="16"/>
      <c r="I60" s="17"/>
      <c r="J60" s="17"/>
      <c r="K60" s="18">
        <f t="shared" si="10"/>
        <v>0</v>
      </c>
      <c r="L60" s="18">
        <f t="shared" si="11"/>
        <v>0</v>
      </c>
      <c r="M60" s="18">
        <f t="shared" si="12"/>
        <v>0</v>
      </c>
      <c r="N60" s="18">
        <f t="shared" si="13"/>
        <v>0</v>
      </c>
      <c r="O60" s="18">
        <f t="shared" si="14"/>
        <v>0</v>
      </c>
      <c r="P60" s="18">
        <f t="shared" si="15"/>
        <v>0</v>
      </c>
      <c r="Q60" s="18">
        <f t="shared" si="16"/>
        <v>0</v>
      </c>
      <c r="R60" s="18">
        <f t="shared" si="17"/>
        <v>0</v>
      </c>
      <c r="S60" s="17"/>
      <c r="T60" s="18" t="str">
        <f t="shared" si="18"/>
        <v>No Action</v>
      </c>
      <c r="U60" s="19"/>
    </row>
    <row r="61" spans="1:21" ht="17.25" customHeight="1" x14ac:dyDescent="0.3">
      <c r="A61" s="13"/>
      <c r="B61" s="14"/>
      <c r="C61" s="15"/>
      <c r="D61" s="15"/>
      <c r="E61" s="15"/>
      <c r="F61" s="16"/>
      <c r="G61" s="16"/>
      <c r="H61" s="16"/>
      <c r="I61" s="17"/>
      <c r="J61" s="17"/>
      <c r="K61" s="18">
        <f t="shared" si="10"/>
        <v>0</v>
      </c>
      <c r="L61" s="18">
        <f t="shared" si="11"/>
        <v>0</v>
      </c>
      <c r="M61" s="18">
        <f t="shared" si="12"/>
        <v>0</v>
      </c>
      <c r="N61" s="18">
        <f t="shared" si="13"/>
        <v>0</v>
      </c>
      <c r="O61" s="18">
        <f t="shared" si="14"/>
        <v>0</v>
      </c>
      <c r="P61" s="18">
        <f t="shared" si="15"/>
        <v>0</v>
      </c>
      <c r="Q61" s="18">
        <f t="shared" si="16"/>
        <v>0</v>
      </c>
      <c r="R61" s="18">
        <f t="shared" si="17"/>
        <v>0</v>
      </c>
      <c r="S61" s="17"/>
      <c r="T61" s="18" t="str">
        <f t="shared" si="18"/>
        <v>No Action</v>
      </c>
      <c r="U61" s="19"/>
    </row>
    <row r="62" spans="1:21" ht="17.25" customHeight="1" x14ac:dyDescent="0.3">
      <c r="A62" s="13"/>
      <c r="B62" s="14"/>
      <c r="C62" s="15"/>
      <c r="D62" s="15"/>
      <c r="E62" s="15"/>
      <c r="F62" s="16"/>
      <c r="G62" s="16"/>
      <c r="H62" s="16"/>
      <c r="I62" s="17"/>
      <c r="J62" s="17"/>
      <c r="K62" s="18">
        <f t="shared" si="10"/>
        <v>0</v>
      </c>
      <c r="L62" s="18">
        <f t="shared" si="11"/>
        <v>0</v>
      </c>
      <c r="M62" s="18">
        <f t="shared" si="12"/>
        <v>0</v>
      </c>
      <c r="N62" s="18">
        <f t="shared" si="13"/>
        <v>0</v>
      </c>
      <c r="O62" s="18">
        <f t="shared" si="14"/>
        <v>0</v>
      </c>
      <c r="P62" s="18">
        <f t="shared" si="15"/>
        <v>0</v>
      </c>
      <c r="Q62" s="18">
        <f t="shared" si="16"/>
        <v>0</v>
      </c>
      <c r="R62" s="18">
        <f t="shared" si="17"/>
        <v>0</v>
      </c>
      <c r="S62" s="17"/>
      <c r="T62" s="18" t="str">
        <f t="shared" si="18"/>
        <v>No Action</v>
      </c>
      <c r="U62" s="19"/>
    </row>
    <row r="63" spans="1:21" ht="17.25" customHeight="1" x14ac:dyDescent="0.3">
      <c r="A63" s="13"/>
      <c r="B63" s="14"/>
      <c r="C63" s="15"/>
      <c r="D63" s="15"/>
      <c r="E63" s="15"/>
      <c r="F63" s="15"/>
      <c r="G63" s="16"/>
      <c r="H63" s="16"/>
      <c r="I63" s="17"/>
      <c r="J63" s="17"/>
      <c r="K63" s="18">
        <f t="shared" si="10"/>
        <v>0</v>
      </c>
      <c r="L63" s="18">
        <f t="shared" si="11"/>
        <v>0</v>
      </c>
      <c r="M63" s="18">
        <f t="shared" si="12"/>
        <v>0</v>
      </c>
      <c r="N63" s="18">
        <f t="shared" si="13"/>
        <v>0</v>
      </c>
      <c r="O63" s="18">
        <f t="shared" si="14"/>
        <v>0</v>
      </c>
      <c r="P63" s="18">
        <f t="shared" si="15"/>
        <v>0</v>
      </c>
      <c r="Q63" s="18">
        <f t="shared" si="16"/>
        <v>0</v>
      </c>
      <c r="R63" s="18">
        <f t="shared" si="17"/>
        <v>0</v>
      </c>
      <c r="S63" s="17"/>
      <c r="T63" s="18" t="str">
        <f t="shared" si="18"/>
        <v>No Action</v>
      </c>
      <c r="U63" s="19"/>
    </row>
    <row r="64" spans="1:21" ht="17.25" customHeight="1" x14ac:dyDescent="0.3">
      <c r="A64" s="13"/>
      <c r="B64" s="14"/>
      <c r="C64" s="16"/>
      <c r="D64" s="16"/>
      <c r="E64" s="15"/>
      <c r="F64" s="15"/>
      <c r="G64" s="16"/>
      <c r="H64" s="16"/>
      <c r="I64" s="17"/>
      <c r="J64" s="17"/>
      <c r="K64" s="18">
        <f t="shared" si="10"/>
        <v>0</v>
      </c>
      <c r="L64" s="18">
        <f t="shared" si="11"/>
        <v>0</v>
      </c>
      <c r="M64" s="18">
        <f t="shared" si="12"/>
        <v>0</v>
      </c>
      <c r="N64" s="18">
        <f t="shared" si="13"/>
        <v>0</v>
      </c>
      <c r="O64" s="18">
        <f t="shared" si="14"/>
        <v>0</v>
      </c>
      <c r="P64" s="18">
        <f t="shared" si="15"/>
        <v>0</v>
      </c>
      <c r="Q64" s="18">
        <f t="shared" si="16"/>
        <v>0</v>
      </c>
      <c r="R64" s="18">
        <f t="shared" si="17"/>
        <v>0</v>
      </c>
      <c r="S64" s="17"/>
      <c r="T64" s="18" t="str">
        <f t="shared" si="18"/>
        <v>No Action</v>
      </c>
      <c r="U64" s="19"/>
    </row>
    <row r="65" spans="1:21" ht="17.25" customHeight="1" x14ac:dyDescent="0.3">
      <c r="A65" s="13"/>
      <c r="B65" s="14"/>
      <c r="C65" s="16"/>
      <c r="D65" s="16"/>
      <c r="E65" s="15"/>
      <c r="F65" s="15"/>
      <c r="G65" s="16"/>
      <c r="H65" s="16"/>
      <c r="I65" s="17"/>
      <c r="J65" s="17"/>
      <c r="K65" s="18">
        <f t="shared" si="10"/>
        <v>0</v>
      </c>
      <c r="L65" s="18">
        <f t="shared" si="11"/>
        <v>0</v>
      </c>
      <c r="M65" s="18">
        <f t="shared" si="12"/>
        <v>0</v>
      </c>
      <c r="N65" s="18">
        <f t="shared" si="13"/>
        <v>0</v>
      </c>
      <c r="O65" s="18">
        <f t="shared" si="14"/>
        <v>0</v>
      </c>
      <c r="P65" s="18">
        <f t="shared" si="15"/>
        <v>0</v>
      </c>
      <c r="Q65" s="18">
        <f t="shared" si="16"/>
        <v>0</v>
      </c>
      <c r="R65" s="18">
        <f t="shared" si="17"/>
        <v>0</v>
      </c>
      <c r="S65" s="17"/>
      <c r="T65" s="18" t="str">
        <f t="shared" si="18"/>
        <v>No Action</v>
      </c>
      <c r="U65" s="19"/>
    </row>
    <row r="66" spans="1:21" ht="17.25" customHeight="1" x14ac:dyDescent="0.4">
      <c r="A66" s="13"/>
      <c r="B66" s="20"/>
      <c r="C66" s="21"/>
      <c r="D66" s="21"/>
      <c r="E66" s="16"/>
      <c r="F66" s="16"/>
      <c r="G66" s="21"/>
      <c r="H66" s="16"/>
      <c r="I66" s="22"/>
      <c r="J66" s="22"/>
      <c r="K66" s="18"/>
      <c r="L66" s="18"/>
      <c r="M66" s="18"/>
      <c r="N66" s="18"/>
      <c r="O66" s="18"/>
      <c r="P66" s="18"/>
      <c r="Q66" s="18"/>
      <c r="R66" s="18"/>
      <c r="S66" s="17"/>
      <c r="T66" s="18"/>
      <c r="U66" s="23"/>
    </row>
    <row r="67" spans="1:21" ht="17.25" customHeight="1" x14ac:dyDescent="0.4">
      <c r="A67" s="13"/>
      <c r="B67" s="20"/>
      <c r="C67" s="21"/>
      <c r="D67" s="21"/>
      <c r="E67" s="16"/>
      <c r="F67" s="16"/>
      <c r="G67" s="21"/>
      <c r="H67" s="16"/>
      <c r="I67" s="22"/>
      <c r="J67" s="22"/>
      <c r="K67" s="18"/>
      <c r="L67" s="18"/>
      <c r="M67" s="18"/>
      <c r="N67" s="18"/>
      <c r="O67" s="18"/>
      <c r="P67" s="18"/>
      <c r="Q67" s="18"/>
      <c r="R67" s="18"/>
      <c r="S67" s="17"/>
      <c r="T67" s="18"/>
      <c r="U67" s="23"/>
    </row>
    <row r="68" spans="1:21" ht="17.25" customHeight="1" x14ac:dyDescent="0.4">
      <c r="A68" s="13"/>
      <c r="B68" s="20"/>
      <c r="C68" s="21"/>
      <c r="D68" s="21"/>
      <c r="E68" s="16"/>
      <c r="F68" s="16"/>
      <c r="G68" s="21"/>
      <c r="H68" s="16"/>
      <c r="I68" s="22"/>
      <c r="J68" s="22"/>
      <c r="K68" s="18"/>
      <c r="L68" s="18"/>
      <c r="M68" s="18"/>
      <c r="N68" s="18"/>
      <c r="O68" s="18"/>
      <c r="P68" s="18"/>
      <c r="Q68" s="18"/>
      <c r="R68" s="18"/>
      <c r="S68" s="17"/>
      <c r="T68" s="18"/>
      <c r="U68" s="23"/>
    </row>
    <row r="69" spans="1:21" ht="17.25" customHeight="1" x14ac:dyDescent="0.4">
      <c r="A69" s="13"/>
      <c r="B69" s="20"/>
      <c r="C69" s="21"/>
      <c r="D69" s="21"/>
      <c r="E69" s="16"/>
      <c r="F69" s="16"/>
      <c r="G69" s="21"/>
      <c r="H69" s="16"/>
      <c r="I69" s="22"/>
      <c r="J69" s="22"/>
      <c r="K69" s="18"/>
      <c r="L69" s="18"/>
      <c r="M69" s="18"/>
      <c r="N69" s="18"/>
      <c r="O69" s="18"/>
      <c r="P69" s="18"/>
      <c r="Q69" s="18"/>
      <c r="R69" s="18"/>
      <c r="S69" s="17"/>
      <c r="T69" s="18"/>
      <c r="U69" s="23"/>
    </row>
    <row r="70" spans="1:21" ht="17.25" customHeight="1" x14ac:dyDescent="0.4">
      <c r="A70" s="13"/>
      <c r="B70" s="20"/>
      <c r="C70" s="21"/>
      <c r="D70" s="21"/>
      <c r="E70" s="16"/>
      <c r="F70" s="16"/>
      <c r="G70" s="21"/>
      <c r="H70" s="16"/>
      <c r="I70" s="22"/>
      <c r="J70" s="22"/>
      <c r="K70" s="18"/>
      <c r="L70" s="18"/>
      <c r="M70" s="18"/>
      <c r="N70" s="18"/>
      <c r="O70" s="18"/>
      <c r="P70" s="18"/>
      <c r="Q70" s="18"/>
      <c r="R70" s="18"/>
      <c r="S70" s="17"/>
      <c r="T70" s="18"/>
      <c r="U70" s="23"/>
    </row>
    <row r="71" spans="1:21" ht="17.25" customHeight="1" x14ac:dyDescent="0.4">
      <c r="A71" s="13"/>
      <c r="B71" s="20"/>
      <c r="C71" s="21"/>
      <c r="D71" s="21"/>
      <c r="E71" s="16"/>
      <c r="F71" s="16"/>
      <c r="G71" s="21"/>
      <c r="H71" s="16"/>
      <c r="I71" s="22"/>
      <c r="J71" s="22"/>
      <c r="K71" s="18"/>
      <c r="L71" s="18"/>
      <c r="M71" s="18"/>
      <c r="N71" s="18"/>
      <c r="O71" s="18"/>
      <c r="P71" s="18"/>
      <c r="Q71" s="18"/>
      <c r="R71" s="18"/>
      <c r="S71" s="17"/>
      <c r="T71" s="18"/>
      <c r="U71" s="23"/>
    </row>
    <row r="72" spans="1:21" ht="17.25" customHeight="1" x14ac:dyDescent="0.4">
      <c r="A72" s="13"/>
      <c r="B72" s="20"/>
      <c r="C72" s="21"/>
      <c r="D72" s="21"/>
      <c r="E72" s="16"/>
      <c r="F72" s="16"/>
      <c r="G72" s="21"/>
      <c r="H72" s="16"/>
      <c r="I72" s="22"/>
      <c r="J72" s="22"/>
      <c r="K72" s="18"/>
      <c r="L72" s="18"/>
      <c r="M72" s="18"/>
      <c r="N72" s="18"/>
      <c r="O72" s="18"/>
      <c r="P72" s="18"/>
      <c r="Q72" s="18"/>
      <c r="R72" s="18"/>
      <c r="S72" s="17"/>
      <c r="T72" s="18"/>
      <c r="U72" s="23"/>
    </row>
    <row r="73" spans="1:21" ht="17.25" customHeight="1" x14ac:dyDescent="0.4">
      <c r="A73" s="13"/>
      <c r="B73" s="20"/>
      <c r="C73" s="21"/>
      <c r="D73" s="21"/>
      <c r="E73" s="16"/>
      <c r="F73" s="16"/>
      <c r="G73" s="21"/>
      <c r="H73" s="16"/>
      <c r="I73" s="22"/>
      <c r="J73" s="22"/>
      <c r="K73" s="18"/>
      <c r="L73" s="18"/>
      <c r="M73" s="18"/>
      <c r="N73" s="18"/>
      <c r="O73" s="18"/>
      <c r="P73" s="18"/>
      <c r="Q73" s="18"/>
      <c r="R73" s="18"/>
      <c r="S73" s="17"/>
      <c r="T73" s="18"/>
      <c r="U73" s="23"/>
    </row>
    <row r="74" spans="1:21" ht="17.25" customHeight="1" x14ac:dyDescent="0.4">
      <c r="A74" s="13"/>
      <c r="B74" s="20"/>
      <c r="C74" s="21"/>
      <c r="D74" s="21"/>
      <c r="E74" s="16"/>
      <c r="F74" s="16"/>
      <c r="G74" s="21"/>
      <c r="H74" s="16"/>
      <c r="I74" s="22"/>
      <c r="J74" s="22"/>
      <c r="K74" s="18"/>
      <c r="L74" s="18"/>
      <c r="M74" s="18"/>
      <c r="N74" s="18"/>
      <c r="O74" s="18"/>
      <c r="P74" s="18"/>
      <c r="Q74" s="18"/>
      <c r="R74" s="18"/>
      <c r="S74" s="17"/>
      <c r="T74" s="18"/>
      <c r="U74" s="23"/>
    </row>
    <row r="75" spans="1:21" ht="17.25" customHeight="1" x14ac:dyDescent="0.4">
      <c r="A75" s="13"/>
      <c r="B75" s="20"/>
      <c r="C75" s="21"/>
      <c r="D75" s="21"/>
      <c r="E75" s="16"/>
      <c r="F75" s="16"/>
      <c r="G75" s="21"/>
      <c r="H75" s="16"/>
      <c r="I75" s="22"/>
      <c r="J75" s="22"/>
      <c r="K75" s="18"/>
      <c r="L75" s="18"/>
      <c r="M75" s="18"/>
      <c r="N75" s="18"/>
      <c r="O75" s="18"/>
      <c r="P75" s="18"/>
      <c r="Q75" s="18"/>
      <c r="R75" s="18"/>
      <c r="S75" s="17"/>
      <c r="T75" s="18"/>
      <c r="U75" s="23"/>
    </row>
    <row r="76" spans="1:21" ht="17.25" customHeight="1" x14ac:dyDescent="0.4">
      <c r="A76" s="13"/>
      <c r="B76" s="20"/>
      <c r="C76" s="21"/>
      <c r="D76" s="21"/>
      <c r="E76" s="16"/>
      <c r="F76" s="16"/>
      <c r="G76" s="21"/>
      <c r="H76" s="16"/>
      <c r="I76" s="22"/>
      <c r="J76" s="22"/>
      <c r="K76" s="18"/>
      <c r="L76" s="18"/>
      <c r="M76" s="18"/>
      <c r="N76" s="18"/>
      <c r="O76" s="18"/>
      <c r="P76" s="18"/>
      <c r="Q76" s="18"/>
      <c r="R76" s="18"/>
      <c r="S76" s="17"/>
      <c r="T76" s="18"/>
      <c r="U76" s="23"/>
    </row>
    <row r="77" spans="1:21" ht="17.25" customHeight="1" x14ac:dyDescent="0.4">
      <c r="A77" s="13"/>
      <c r="B77" s="20"/>
      <c r="C77" s="21"/>
      <c r="D77" s="21"/>
      <c r="E77" s="16"/>
      <c r="F77" s="16"/>
      <c r="G77" s="21"/>
      <c r="H77" s="16"/>
      <c r="I77" s="22"/>
      <c r="J77" s="22"/>
      <c r="K77" s="18"/>
      <c r="L77" s="18"/>
      <c r="M77" s="18"/>
      <c r="N77" s="18"/>
      <c r="O77" s="18"/>
      <c r="P77" s="18"/>
      <c r="Q77" s="18"/>
      <c r="R77" s="18"/>
      <c r="S77" s="17"/>
      <c r="T77" s="18"/>
      <c r="U77" s="23"/>
    </row>
    <row r="78" spans="1:21" ht="17.25" customHeight="1" x14ac:dyDescent="0.4">
      <c r="A78" s="13"/>
      <c r="B78" s="20"/>
      <c r="C78" s="21"/>
      <c r="D78" s="21"/>
      <c r="E78" s="16"/>
      <c r="F78" s="16"/>
      <c r="G78" s="21"/>
      <c r="H78" s="16"/>
      <c r="I78" s="22"/>
      <c r="J78" s="22"/>
      <c r="K78" s="18"/>
      <c r="L78" s="18"/>
      <c r="M78" s="18"/>
      <c r="N78" s="18"/>
      <c r="O78" s="18"/>
      <c r="P78" s="18"/>
      <c r="Q78" s="18"/>
      <c r="R78" s="18"/>
      <c r="S78" s="17"/>
      <c r="T78" s="18"/>
      <c r="U78" s="23"/>
    </row>
    <row r="79" spans="1:21" ht="17.25" customHeight="1" x14ac:dyDescent="0.4">
      <c r="A79" s="13"/>
      <c r="B79" s="20"/>
      <c r="C79" s="21"/>
      <c r="D79" s="21"/>
      <c r="E79" s="16"/>
      <c r="F79" s="16"/>
      <c r="G79" s="21"/>
      <c r="H79" s="16"/>
      <c r="I79" s="22"/>
      <c r="J79" s="22"/>
      <c r="K79" s="18"/>
      <c r="L79" s="18"/>
      <c r="M79" s="18"/>
      <c r="N79" s="18"/>
      <c r="O79" s="18"/>
      <c r="P79" s="18"/>
      <c r="Q79" s="18"/>
      <c r="R79" s="18"/>
      <c r="S79" s="17"/>
      <c r="T79" s="18"/>
      <c r="U79" s="23"/>
    </row>
    <row r="80" spans="1:21" ht="17.25" customHeight="1" x14ac:dyDescent="0.4">
      <c r="A80" s="13"/>
      <c r="B80" s="20"/>
      <c r="C80" s="21"/>
      <c r="D80" s="21"/>
      <c r="E80" s="16"/>
      <c r="F80" s="16"/>
      <c r="G80" s="21"/>
      <c r="H80" s="16"/>
      <c r="I80" s="22"/>
      <c r="J80" s="22"/>
      <c r="K80" s="18"/>
      <c r="L80" s="18"/>
      <c r="M80" s="18"/>
      <c r="N80" s="18"/>
      <c r="O80" s="18"/>
      <c r="P80" s="18"/>
      <c r="Q80" s="18"/>
      <c r="R80" s="18"/>
      <c r="S80" s="17"/>
      <c r="T80" s="18"/>
      <c r="U80" s="23"/>
    </row>
    <row r="81" spans="1:21" ht="17.25" customHeight="1" x14ac:dyDescent="0.4">
      <c r="A81" s="13"/>
      <c r="B81" s="20"/>
      <c r="C81" s="21"/>
      <c r="D81" s="21"/>
      <c r="E81" s="16"/>
      <c r="F81" s="16"/>
      <c r="G81" s="21"/>
      <c r="H81" s="16"/>
      <c r="I81" s="22"/>
      <c r="J81" s="22"/>
      <c r="K81" s="18"/>
      <c r="L81" s="18"/>
      <c r="M81" s="18"/>
      <c r="N81" s="18"/>
      <c r="O81" s="18"/>
      <c r="P81" s="18"/>
      <c r="Q81" s="18"/>
      <c r="R81" s="18"/>
      <c r="S81" s="17"/>
      <c r="T81" s="18"/>
      <c r="U81" s="23"/>
    </row>
    <row r="82" spans="1:21" ht="17.25" customHeight="1" x14ac:dyDescent="0.4">
      <c r="A82" s="13"/>
      <c r="B82" s="20"/>
      <c r="C82" s="21"/>
      <c r="D82" s="21"/>
      <c r="E82" s="16"/>
      <c r="F82" s="16"/>
      <c r="G82" s="21"/>
      <c r="H82" s="16"/>
      <c r="I82" s="22"/>
      <c r="J82" s="22"/>
      <c r="K82" s="18"/>
      <c r="L82" s="18"/>
      <c r="M82" s="18"/>
      <c r="N82" s="18"/>
      <c r="O82" s="18"/>
      <c r="P82" s="18"/>
      <c r="Q82" s="18"/>
      <c r="R82" s="18"/>
      <c r="S82" s="17"/>
      <c r="T82" s="18"/>
      <c r="U82" s="23"/>
    </row>
    <row r="83" spans="1:21" ht="17.25" customHeight="1" x14ac:dyDescent="0.4">
      <c r="A83" s="13"/>
      <c r="B83" s="20"/>
      <c r="C83" s="21"/>
      <c r="D83" s="21"/>
      <c r="E83" s="16"/>
      <c r="F83" s="16"/>
      <c r="G83" s="21"/>
      <c r="H83" s="16"/>
      <c r="I83" s="22"/>
      <c r="J83" s="22"/>
      <c r="K83" s="18"/>
      <c r="L83" s="18"/>
      <c r="M83" s="18"/>
      <c r="N83" s="18"/>
      <c r="O83" s="18"/>
      <c r="P83" s="18"/>
      <c r="Q83" s="18"/>
      <c r="R83" s="18"/>
      <c r="S83" s="17"/>
      <c r="T83" s="18"/>
      <c r="U83" s="23"/>
    </row>
    <row r="84" spans="1:21" ht="17.25" customHeight="1" x14ac:dyDescent="0.4">
      <c r="A84" s="13"/>
      <c r="B84" s="20"/>
      <c r="C84" s="21"/>
      <c r="D84" s="21"/>
      <c r="E84" s="16"/>
      <c r="F84" s="16"/>
      <c r="G84" s="21"/>
      <c r="H84" s="16"/>
      <c r="I84" s="22"/>
      <c r="J84" s="22"/>
      <c r="K84" s="18"/>
      <c r="L84" s="18"/>
      <c r="M84" s="18"/>
      <c r="N84" s="18"/>
      <c r="O84" s="18"/>
      <c r="P84" s="18"/>
      <c r="Q84" s="18"/>
      <c r="R84" s="18"/>
      <c r="S84" s="17"/>
      <c r="T84" s="18"/>
      <c r="U84" s="23"/>
    </row>
    <row r="85" spans="1:21" ht="17.25" customHeight="1" x14ac:dyDescent="0.4">
      <c r="A85" s="13"/>
      <c r="B85" s="20"/>
      <c r="C85" s="21"/>
      <c r="D85" s="21"/>
      <c r="E85" s="16"/>
      <c r="F85" s="16"/>
      <c r="G85" s="21"/>
      <c r="H85" s="16"/>
      <c r="I85" s="22"/>
      <c r="J85" s="22"/>
      <c r="K85" s="18"/>
      <c r="L85" s="18"/>
      <c r="M85" s="18"/>
      <c r="N85" s="18"/>
      <c r="O85" s="18"/>
      <c r="P85" s="18"/>
      <c r="Q85" s="18"/>
      <c r="R85" s="18"/>
      <c r="S85" s="17"/>
      <c r="T85" s="18"/>
      <c r="U85" s="23"/>
    </row>
    <row r="86" spans="1:21" ht="17.25" customHeight="1" x14ac:dyDescent="0.4">
      <c r="A86" s="13"/>
      <c r="B86" s="20"/>
      <c r="C86" s="21"/>
      <c r="D86" s="21"/>
      <c r="E86" s="16"/>
      <c r="F86" s="16"/>
      <c r="G86" s="21"/>
      <c r="H86" s="16"/>
      <c r="I86" s="22"/>
      <c r="J86" s="22"/>
      <c r="K86" s="18"/>
      <c r="L86" s="18"/>
      <c r="M86" s="18"/>
      <c r="N86" s="18"/>
      <c r="O86" s="18"/>
      <c r="P86" s="18"/>
      <c r="Q86" s="18"/>
      <c r="R86" s="18"/>
      <c r="S86" s="17"/>
      <c r="T86" s="18"/>
      <c r="U86" s="23"/>
    </row>
    <row r="87" spans="1:21" ht="17.25" customHeight="1" x14ac:dyDescent="0.4">
      <c r="A87" s="13"/>
      <c r="B87" s="20"/>
      <c r="C87" s="21"/>
      <c r="D87" s="21"/>
      <c r="E87" s="16"/>
      <c r="F87" s="16"/>
      <c r="G87" s="21"/>
      <c r="H87" s="16"/>
      <c r="I87" s="22"/>
      <c r="J87" s="22"/>
      <c r="K87" s="18"/>
      <c r="L87" s="18"/>
      <c r="M87" s="18"/>
      <c r="N87" s="18"/>
      <c r="O87" s="18"/>
      <c r="P87" s="18"/>
      <c r="Q87" s="18"/>
      <c r="R87" s="18"/>
      <c r="S87" s="17"/>
      <c r="T87" s="18"/>
      <c r="U87" s="23"/>
    </row>
    <row r="88" spans="1:21" ht="17.25" customHeight="1" x14ac:dyDescent="0.4">
      <c r="A88" s="13"/>
      <c r="B88" s="20"/>
      <c r="C88" s="21"/>
      <c r="D88" s="21"/>
      <c r="E88" s="16"/>
      <c r="F88" s="16"/>
      <c r="G88" s="21"/>
      <c r="H88" s="16"/>
      <c r="I88" s="22"/>
      <c r="J88" s="22"/>
      <c r="K88" s="18"/>
      <c r="L88" s="18"/>
      <c r="M88" s="18"/>
      <c r="N88" s="18"/>
      <c r="O88" s="18"/>
      <c r="P88" s="18"/>
      <c r="Q88" s="18"/>
      <c r="R88" s="18"/>
      <c r="S88" s="17"/>
      <c r="T88" s="18"/>
      <c r="U88" s="23"/>
    </row>
    <row r="89" spans="1:21" ht="17.25" customHeight="1" x14ac:dyDescent="0.4">
      <c r="A89" s="13"/>
      <c r="B89" s="20"/>
      <c r="C89" s="21"/>
      <c r="D89" s="21"/>
      <c r="E89" s="16"/>
      <c r="F89" s="16"/>
      <c r="G89" s="21"/>
      <c r="H89" s="16"/>
      <c r="I89" s="22"/>
      <c r="J89" s="22"/>
      <c r="K89" s="18"/>
      <c r="L89" s="18"/>
      <c r="M89" s="18"/>
      <c r="N89" s="18"/>
      <c r="O89" s="18"/>
      <c r="P89" s="18"/>
      <c r="Q89" s="18"/>
      <c r="R89" s="18"/>
      <c r="S89" s="17"/>
      <c r="T89" s="18"/>
      <c r="U89" s="23"/>
    </row>
    <row r="90" spans="1:21" ht="17.25" customHeight="1" x14ac:dyDescent="0.4">
      <c r="A90" s="13"/>
      <c r="B90" s="20"/>
      <c r="C90" s="21"/>
      <c r="D90" s="21"/>
      <c r="E90" s="16"/>
      <c r="F90" s="16"/>
      <c r="G90" s="21"/>
      <c r="H90" s="16"/>
      <c r="I90" s="22"/>
      <c r="J90" s="22"/>
      <c r="K90" s="18"/>
      <c r="L90" s="18"/>
      <c r="M90" s="18"/>
      <c r="N90" s="18"/>
      <c r="O90" s="18"/>
      <c r="P90" s="18"/>
      <c r="Q90" s="18"/>
      <c r="R90" s="18"/>
      <c r="S90" s="17"/>
      <c r="T90" s="18"/>
      <c r="U90" s="23"/>
    </row>
    <row r="91" spans="1:21" ht="17.25" customHeight="1" x14ac:dyDescent="0.4">
      <c r="A91" s="13"/>
      <c r="B91" s="20"/>
      <c r="C91" s="21"/>
      <c r="D91" s="21"/>
      <c r="E91" s="16"/>
      <c r="F91" s="16"/>
      <c r="G91" s="21"/>
      <c r="H91" s="16"/>
      <c r="I91" s="22"/>
      <c r="J91" s="22"/>
      <c r="K91" s="18"/>
      <c r="L91" s="18"/>
      <c r="M91" s="18"/>
      <c r="N91" s="18"/>
      <c r="O91" s="18"/>
      <c r="P91" s="18"/>
      <c r="Q91" s="18"/>
      <c r="R91" s="18"/>
      <c r="S91" s="17"/>
      <c r="T91" s="18"/>
      <c r="U91" s="23"/>
    </row>
    <row r="92" spans="1:21" ht="17.25" customHeight="1" x14ac:dyDescent="0.4">
      <c r="A92" s="13"/>
      <c r="B92" s="20"/>
      <c r="C92" s="21"/>
      <c r="D92" s="21"/>
      <c r="E92" s="16"/>
      <c r="F92" s="16"/>
      <c r="G92" s="21"/>
      <c r="H92" s="16"/>
      <c r="I92" s="22"/>
      <c r="J92" s="22"/>
      <c r="K92" s="18"/>
      <c r="L92" s="18"/>
      <c r="M92" s="18"/>
      <c r="N92" s="18"/>
      <c r="O92" s="18"/>
      <c r="P92" s="18"/>
      <c r="Q92" s="18"/>
      <c r="R92" s="18"/>
      <c r="S92" s="17"/>
      <c r="T92" s="18"/>
      <c r="U92" s="23"/>
    </row>
    <row r="93" spans="1:21" ht="17.25" customHeight="1" x14ac:dyDescent="0.4">
      <c r="A93" s="24"/>
      <c r="B93" s="25"/>
      <c r="C93" s="26"/>
      <c r="D93" s="26"/>
      <c r="E93" s="26"/>
      <c r="F93" s="16"/>
      <c r="G93" s="26"/>
      <c r="H93" s="16"/>
      <c r="I93" s="22"/>
      <c r="J93" s="22"/>
      <c r="K93" s="18"/>
      <c r="L93" s="18"/>
      <c r="M93" s="18"/>
      <c r="N93" s="18"/>
      <c r="O93" s="18"/>
      <c r="P93" s="18"/>
      <c r="Q93" s="18"/>
      <c r="R93" s="18"/>
      <c r="S93" s="27"/>
      <c r="T93" s="28"/>
      <c r="U93" s="29"/>
    </row>
    <row r="94" spans="1:21" s="30" customFormat="1" ht="18" customHeight="1" x14ac:dyDescent="0.4">
      <c r="B94" s="31"/>
      <c r="C94" s="32"/>
      <c r="D94" s="32"/>
      <c r="E94" s="32"/>
      <c r="F94" s="16"/>
      <c r="G94" s="32"/>
      <c r="H94" s="16"/>
      <c r="I94" s="22"/>
      <c r="J94" s="22"/>
      <c r="K94" s="18"/>
      <c r="L94" s="18"/>
      <c r="M94" s="18"/>
      <c r="N94" s="18"/>
      <c r="O94" s="18"/>
      <c r="P94" s="18"/>
      <c r="Q94" s="18"/>
      <c r="R94" s="18"/>
      <c r="S94" s="33"/>
      <c r="T94" s="34"/>
      <c r="U94" s="35"/>
    </row>
    <row r="95" spans="1:21" s="30" customFormat="1" ht="16.5" customHeight="1" x14ac:dyDescent="0.3">
      <c r="B95" s="36"/>
      <c r="C95" s="33"/>
      <c r="E95" s="32"/>
      <c r="F95" s="33"/>
      <c r="G95" s="32"/>
      <c r="H95" s="16"/>
      <c r="I95" s="32"/>
      <c r="J95" s="33"/>
      <c r="K95" s="18"/>
      <c r="L95" s="18"/>
      <c r="M95" s="18"/>
      <c r="N95" s="18"/>
      <c r="O95" s="18"/>
      <c r="P95" s="18"/>
      <c r="Q95" s="18"/>
      <c r="R95" s="18"/>
      <c r="S95" s="33"/>
      <c r="T95" s="34"/>
      <c r="U95" s="35"/>
    </row>
    <row r="96" spans="1:21" s="30" customFormat="1" ht="18" customHeight="1" x14ac:dyDescent="0.4">
      <c r="B96" s="31"/>
      <c r="C96" s="33"/>
      <c r="D96" s="33"/>
      <c r="E96" s="33"/>
      <c r="F96" s="33"/>
      <c r="G96" s="32"/>
      <c r="H96" s="16"/>
      <c r="I96" s="33"/>
      <c r="J96" s="33"/>
      <c r="K96" s="18"/>
      <c r="L96" s="18"/>
      <c r="M96" s="18"/>
      <c r="N96" s="18"/>
      <c r="O96" s="18"/>
      <c r="P96" s="18"/>
      <c r="Q96" s="18"/>
      <c r="R96" s="18"/>
      <c r="S96" s="33"/>
      <c r="T96" s="34"/>
      <c r="U96" s="35"/>
    </row>
    <row r="97" spans="2:21" s="30" customFormat="1" ht="31.5" customHeight="1" x14ac:dyDescent="0.3">
      <c r="B97" s="37"/>
      <c r="C97" s="33"/>
      <c r="D97" s="33"/>
      <c r="E97" s="32"/>
      <c r="F97" s="33"/>
      <c r="G97" s="33"/>
      <c r="H97" s="33"/>
      <c r="I97" s="33"/>
      <c r="J97" s="33"/>
      <c r="K97" s="18"/>
      <c r="L97" s="18"/>
      <c r="M97" s="18"/>
      <c r="N97" s="18"/>
      <c r="O97" s="18"/>
      <c r="P97" s="18"/>
      <c r="Q97" s="18"/>
      <c r="R97" s="18"/>
      <c r="S97" s="33"/>
      <c r="T97" s="34"/>
      <c r="U97" s="35"/>
    </row>
    <row r="98" spans="2:21" s="30" customFormat="1" ht="16.5" customHeight="1" x14ac:dyDescent="0.3">
      <c r="B98" s="37"/>
      <c r="C98" s="33"/>
      <c r="D98" s="33"/>
      <c r="E98" s="32"/>
      <c r="F98" s="33"/>
      <c r="G98" s="33"/>
      <c r="H98" s="33"/>
      <c r="I98" s="33"/>
      <c r="J98" s="33"/>
      <c r="K98" s="18"/>
      <c r="L98" s="18"/>
      <c r="M98" s="18"/>
      <c r="N98" s="18"/>
      <c r="O98" s="18"/>
      <c r="P98" s="18"/>
      <c r="Q98" s="18"/>
      <c r="R98" s="18"/>
      <c r="S98" s="33"/>
      <c r="T98" s="34"/>
      <c r="U98" s="35"/>
    </row>
    <row r="99" spans="2:21" s="30" customFormat="1" ht="16.5" customHeight="1" x14ac:dyDescent="0.3">
      <c r="B99" s="37"/>
      <c r="C99" s="33"/>
      <c r="D99" s="33"/>
      <c r="E99" s="33"/>
      <c r="F99" s="33"/>
      <c r="G99" s="33"/>
      <c r="H99" s="33"/>
      <c r="I99" s="33"/>
      <c r="J99" s="33"/>
      <c r="K99" s="18"/>
      <c r="L99" s="18"/>
      <c r="M99" s="18"/>
      <c r="N99" s="18"/>
      <c r="O99" s="18"/>
      <c r="P99" s="18"/>
      <c r="Q99" s="18"/>
      <c r="R99" s="18"/>
      <c r="S99" s="33"/>
      <c r="T99" s="34"/>
      <c r="U99" s="35"/>
    </row>
    <row r="100" spans="2:21" s="30" customFormat="1" ht="16.5" customHeight="1" x14ac:dyDescent="0.3">
      <c r="B100" s="37"/>
      <c r="C100" s="33"/>
      <c r="D100" s="33"/>
      <c r="E100" s="33"/>
      <c r="F100" s="33"/>
      <c r="G100" s="33"/>
      <c r="H100" s="33"/>
      <c r="I100" s="33"/>
      <c r="J100" s="33"/>
      <c r="K100" s="18"/>
      <c r="L100" s="18"/>
      <c r="M100" s="18"/>
      <c r="N100" s="18"/>
      <c r="O100" s="18"/>
      <c r="P100" s="18"/>
      <c r="Q100" s="18"/>
      <c r="R100" s="18"/>
      <c r="S100" s="33"/>
      <c r="T100" s="34"/>
      <c r="U100" s="35"/>
    </row>
    <row r="101" spans="2:21" s="30" customFormat="1" ht="16.5" customHeight="1" x14ac:dyDescent="0.3">
      <c r="B101" s="37"/>
      <c r="C101" s="33"/>
      <c r="D101" s="33"/>
      <c r="E101" s="33"/>
      <c r="F101" s="33"/>
      <c r="G101" s="33"/>
      <c r="H101" s="33"/>
      <c r="I101" s="33"/>
      <c r="J101" s="33"/>
      <c r="K101" s="18"/>
      <c r="L101" s="18"/>
      <c r="M101" s="18"/>
      <c r="N101" s="18"/>
      <c r="O101" s="18"/>
      <c r="P101" s="18"/>
      <c r="Q101" s="18"/>
      <c r="R101" s="18"/>
      <c r="S101" s="33"/>
      <c r="T101" s="34"/>
      <c r="U101" s="35"/>
    </row>
    <row r="102" spans="2:21" s="30" customFormat="1" ht="16.5" customHeight="1" x14ac:dyDescent="0.3">
      <c r="B102" s="37"/>
      <c r="C102" s="33"/>
      <c r="D102" s="33"/>
      <c r="E102" s="33"/>
      <c r="F102" s="33"/>
      <c r="G102" s="33"/>
      <c r="H102" s="33"/>
      <c r="I102" s="33"/>
      <c r="J102" s="33"/>
      <c r="K102" s="18"/>
      <c r="L102" s="18"/>
      <c r="M102" s="18"/>
      <c r="N102" s="18"/>
      <c r="O102" s="18"/>
      <c r="P102" s="18"/>
      <c r="Q102" s="18"/>
      <c r="R102" s="18"/>
      <c r="S102" s="33"/>
      <c r="T102" s="34"/>
      <c r="U102" s="35"/>
    </row>
    <row r="103" spans="2:21" s="30" customFormat="1" ht="16.5" customHeight="1" x14ac:dyDescent="0.3">
      <c r="B103" s="37"/>
      <c r="C103" s="33"/>
      <c r="D103" s="33"/>
      <c r="E103" s="33"/>
      <c r="F103" s="33"/>
      <c r="G103" s="33"/>
      <c r="H103" s="33"/>
      <c r="I103" s="33"/>
      <c r="J103" s="33"/>
      <c r="K103" s="18"/>
      <c r="L103" s="18"/>
      <c r="M103" s="18"/>
      <c r="N103" s="18"/>
      <c r="O103" s="18"/>
      <c r="P103" s="18"/>
      <c r="Q103" s="18"/>
      <c r="R103" s="18"/>
      <c r="S103" s="33"/>
      <c r="T103" s="34"/>
      <c r="U103" s="35"/>
    </row>
    <row r="104" spans="2:21" s="30" customFormat="1" ht="16.5" customHeight="1" x14ac:dyDescent="0.3">
      <c r="B104" s="37"/>
      <c r="C104" s="33"/>
      <c r="D104" s="33"/>
      <c r="E104" s="33"/>
      <c r="F104" s="33"/>
      <c r="G104" s="33"/>
      <c r="H104" s="33"/>
      <c r="I104" s="33"/>
      <c r="J104" s="33"/>
      <c r="K104" s="18"/>
      <c r="L104" s="18"/>
      <c r="M104" s="18"/>
      <c r="N104" s="18"/>
      <c r="O104" s="18"/>
      <c r="P104" s="18"/>
      <c r="Q104" s="18"/>
      <c r="R104" s="18"/>
      <c r="S104" s="33"/>
      <c r="T104" s="34"/>
      <c r="U104" s="35"/>
    </row>
    <row r="105" spans="2:21" s="30" customFormat="1" ht="16.5" customHeight="1" x14ac:dyDescent="0.3">
      <c r="B105" s="37"/>
      <c r="C105" s="33"/>
      <c r="D105" s="33"/>
      <c r="E105" s="33"/>
      <c r="F105" s="33"/>
      <c r="G105" s="33"/>
      <c r="H105" s="33"/>
      <c r="I105" s="33"/>
      <c r="J105" s="33"/>
      <c r="K105" s="18"/>
      <c r="L105" s="18"/>
      <c r="M105" s="18"/>
      <c r="N105" s="18"/>
      <c r="O105" s="18"/>
      <c r="P105" s="18"/>
      <c r="Q105" s="18"/>
      <c r="R105" s="18"/>
      <c r="S105" s="33"/>
      <c r="T105" s="34"/>
      <c r="U105" s="35"/>
    </row>
    <row r="106" spans="2:21" ht="15.75" customHeight="1" x14ac:dyDescent="0.3"/>
  </sheetData>
  <autoFilter ref="A11:U105" xr:uid="{00000000-0009-0000-0000-000000000000}">
    <filterColumn colId="0" hiddenButton="1"/>
    <filterColumn colId="1" hiddenButton="1"/>
    <filterColumn colId="2" hiddenButton="1"/>
    <filterColumn colId="3" hiddenButton="1"/>
  </autoFilter>
  <mergeCells count="18">
    <mergeCell ref="B5:D5"/>
    <mergeCell ref="B6:D6"/>
    <mergeCell ref="B7:D7"/>
    <mergeCell ref="B8:D8"/>
    <mergeCell ref="A10:A11"/>
    <mergeCell ref="B10:B11"/>
    <mergeCell ref="C10:D10"/>
    <mergeCell ref="E10:F10"/>
    <mergeCell ref="G10:H10"/>
    <mergeCell ref="I10:J10"/>
    <mergeCell ref="K10:R10"/>
    <mergeCell ref="S10:S11"/>
    <mergeCell ref="T10:T11"/>
    <mergeCell ref="U10:U11"/>
    <mergeCell ref="K11:L11"/>
    <mergeCell ref="M11:N11"/>
    <mergeCell ref="O11:P11"/>
    <mergeCell ref="Q11:R11"/>
  </mergeCells>
  <conditionalFormatting sqref="B12:B94">
    <cfRule type="duplicateValues" dxfId="0" priority="2"/>
  </conditionalFormatting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Masters!$C$2:$C$24</xm:f>
          </x14:formula1>
          <x14:formula2>
            <xm:f>0</xm:f>
          </x14:formula2>
          <xm:sqref>A12:A65</xm:sqref>
        </x14:dataValidation>
        <x14:dataValidation type="list" allowBlank="1" xr:uid="{00000000-0002-0000-0000-000001000000}">
          <x14:formula1>
            <xm:f>Masters!$G$2:$G$6</xm:f>
          </x14:formula1>
          <x14:formula2>
            <xm:f>0</xm:f>
          </x14:formula2>
          <xm:sqref>S12:S65</xm:sqref>
        </x14:dataValidation>
        <x14:dataValidation type="list" allowBlank="1" xr:uid="{00000000-0002-0000-0000-000002000000}">
          <x14:formula1>
            <xm:f>Masters!$A$2:$A$7</xm:f>
          </x14:formula1>
          <x14:formula2>
            <xm:f>0</xm:f>
          </x14:formula2>
          <xm:sqref>B6:B7</xm:sqref>
        </x14:dataValidation>
        <x14:dataValidation type="list" allowBlank="1" xr:uid="{00000000-0002-0000-0000-000003000000}">
          <x14:formula1>
            <xm:f>Masters!$E$2:$E$17</xm:f>
          </x14:formula1>
          <x14:formula2>
            <xm:f>0</xm:f>
          </x14:formula2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"/>
  <sheetViews>
    <sheetView zoomScale="85" zoomScaleNormal="85" workbookViewId="0">
      <selection activeCell="D37" sqref="D37"/>
    </sheetView>
  </sheetViews>
  <sheetFormatPr defaultColWidth="8.6640625" defaultRowHeight="14.4" x14ac:dyDescent="0.3"/>
  <cols>
    <col min="1" max="1" width="29.6640625" customWidth="1"/>
    <col min="2" max="2" width="24.33203125" customWidth="1"/>
    <col min="3" max="3" width="20.44140625" customWidth="1"/>
    <col min="4" max="4" width="25.88671875" customWidth="1"/>
    <col min="5" max="5" width="22.33203125" customWidth="1"/>
    <col min="6" max="6" width="20.88671875" customWidth="1"/>
    <col min="7" max="7" width="20" customWidth="1"/>
    <col min="8" max="9" width="23.88671875" customWidth="1"/>
    <col min="10" max="10" width="14.6640625" customWidth="1"/>
    <col min="11" max="11" width="15.44140625" customWidth="1"/>
    <col min="12" max="12" width="16.88671875" customWidth="1"/>
    <col min="13" max="13" width="16.109375" customWidth="1"/>
    <col min="14" max="14" width="17" customWidth="1"/>
    <col min="15" max="15" width="17.109375" customWidth="1"/>
    <col min="16" max="16" width="19.33203125" customWidth="1"/>
    <col min="17" max="17" width="18.109375" customWidth="1"/>
  </cols>
  <sheetData>
    <row r="1" spans="1:17" ht="19.5" customHeight="1" x14ac:dyDescent="0.4">
      <c r="A1" s="4" t="s">
        <v>0</v>
      </c>
      <c r="B1" s="4"/>
      <c r="C1" s="4"/>
      <c r="D1" s="4"/>
    </row>
    <row r="2" spans="1:17" ht="15.75" customHeight="1" x14ac:dyDescent="0.3"/>
    <row r="3" spans="1:17" ht="21" customHeight="1" x14ac:dyDescent="0.4">
      <c r="A3" s="5" t="s">
        <v>33</v>
      </c>
      <c r="B3" s="6"/>
      <c r="C3" s="7"/>
    </row>
    <row r="4" spans="1:17" ht="16.5" customHeight="1" x14ac:dyDescent="0.3"/>
    <row r="5" spans="1:17" ht="15.75" customHeight="1" x14ac:dyDescent="0.3">
      <c r="A5" s="8" t="s">
        <v>2</v>
      </c>
      <c r="B5" s="54" t="s">
        <v>3</v>
      </c>
      <c r="C5" s="54"/>
      <c r="D5" s="54"/>
    </row>
    <row r="6" spans="1:17" ht="15.75" customHeight="1" x14ac:dyDescent="0.3">
      <c r="A6" s="9" t="s">
        <v>4</v>
      </c>
      <c r="B6" s="54" t="s">
        <v>5</v>
      </c>
      <c r="C6" s="54"/>
      <c r="D6" s="54"/>
    </row>
    <row r="7" spans="1:17" ht="15.75" customHeight="1" x14ac:dyDescent="0.3">
      <c r="A7" s="9" t="s">
        <v>6</v>
      </c>
      <c r="B7" s="54" t="s">
        <v>7</v>
      </c>
      <c r="C7" s="54"/>
      <c r="D7" s="54"/>
    </row>
    <row r="8" spans="1:17" ht="15.75" customHeight="1" x14ac:dyDescent="0.3">
      <c r="A8" s="9" t="s">
        <v>8</v>
      </c>
      <c r="B8" s="54" t="s">
        <v>9</v>
      </c>
      <c r="C8" s="54"/>
      <c r="D8" s="54"/>
    </row>
    <row r="10" spans="1:17" ht="15.75" customHeight="1" x14ac:dyDescent="0.3"/>
    <row r="11" spans="1:17" ht="15.75" customHeight="1" x14ac:dyDescent="0.3">
      <c r="A11" s="55" t="s">
        <v>10</v>
      </c>
      <c r="B11" s="48" t="s">
        <v>12</v>
      </c>
      <c r="C11" s="48"/>
      <c r="D11" s="48" t="s">
        <v>13</v>
      </c>
      <c r="E11" s="48"/>
      <c r="F11" s="48" t="s">
        <v>14</v>
      </c>
      <c r="G11" s="48"/>
      <c r="H11" s="48" t="s">
        <v>15</v>
      </c>
      <c r="I11" s="48"/>
      <c r="J11" s="50" t="s">
        <v>16</v>
      </c>
      <c r="K11" s="50"/>
      <c r="L11" s="50"/>
      <c r="M11" s="50"/>
      <c r="N11" s="50"/>
      <c r="O11" s="50"/>
      <c r="P11" s="50"/>
      <c r="Q11" s="50"/>
    </row>
    <row r="12" spans="1:17" ht="15.75" customHeight="1" x14ac:dyDescent="0.3">
      <c r="A12" s="55"/>
      <c r="B12" s="1" t="s">
        <v>20</v>
      </c>
      <c r="C12" s="1" t="s">
        <v>21</v>
      </c>
      <c r="D12" s="1" t="s">
        <v>20</v>
      </c>
      <c r="E12" s="1" t="s">
        <v>21</v>
      </c>
      <c r="F12" s="1" t="s">
        <v>20</v>
      </c>
      <c r="G12" s="1" t="s">
        <v>21</v>
      </c>
      <c r="H12" s="1" t="s">
        <v>20</v>
      </c>
      <c r="I12" s="1" t="s">
        <v>21</v>
      </c>
      <c r="J12" s="53" t="s">
        <v>22</v>
      </c>
      <c r="K12" s="53"/>
      <c r="L12" s="53" t="s">
        <v>23</v>
      </c>
      <c r="M12" s="53"/>
      <c r="N12" s="53" t="s">
        <v>24</v>
      </c>
      <c r="O12" s="53"/>
      <c r="P12" s="53" t="s">
        <v>34</v>
      </c>
      <c r="Q12" s="53"/>
    </row>
    <row r="13" spans="1:17" ht="15.75" customHeight="1" x14ac:dyDescent="0.3">
      <c r="A13" s="38" t="str">
        <f>Masters!C2</f>
        <v>92B - Salaries Receipts</v>
      </c>
      <c r="B13" s="39">
        <f>SUMIF(Reco!$A$12:$A$65,Summary!A13,Reco!$C$12:$C$65)</f>
        <v>0</v>
      </c>
      <c r="C13" s="39">
        <f>SUMIF(Reco!$A$12:$A$65,Summary!A13,Reco!$D$12:$D$65)</f>
        <v>0</v>
      </c>
      <c r="D13" s="39">
        <f>SUMIF(Reco!$A$12:$A$65,Summary!A13,Reco!$E$12:$E$65)</f>
        <v>0</v>
      </c>
      <c r="E13" s="39">
        <f>SUMIF(Reco!$A$12:$A$65,Summary!A13,Reco!$F$12:$F$65)</f>
        <v>0</v>
      </c>
      <c r="F13" s="39">
        <f>SUMIF(Reco!$A$12:$A$65,Summary!A13,Reco!$G$12:$G$65)</f>
        <v>0</v>
      </c>
      <c r="G13" s="39">
        <f>SUMIF(Reco!$A$12:$A$65,Summary!A13,Reco!$H$12:$H$65)</f>
        <v>0</v>
      </c>
      <c r="H13" s="39">
        <f>SUMIF(Reco!$A$12:$A$65,Summary!A13,Reco!$I$12:$I$65)</f>
        <v>0</v>
      </c>
      <c r="I13" s="40">
        <f>SUMIF(Reco!$A$12:$A$65,Summary!A13,Reco!$J$12:$J$65)</f>
        <v>0</v>
      </c>
      <c r="J13" s="39">
        <f t="shared" ref="J13:J35" si="0">IF(AND(B13&gt;0,D13&gt;0),(B13-D13),0)</f>
        <v>0</v>
      </c>
      <c r="K13" s="39">
        <f t="shared" ref="K13:K35" si="1">IF(AND(C13&gt;0,E13&gt;0),(C13-E13),0)</f>
        <v>0</v>
      </c>
      <c r="L13" s="39">
        <f t="shared" ref="L13:L35" si="2">IF(AND(B13&gt;0,F13&gt;0),(B13-F13),0)</f>
        <v>0</v>
      </c>
      <c r="M13" s="39">
        <f t="shared" ref="M13:M35" si="3">IF(AND(C13&gt;0,G13&gt;0),(C13-G13),0)</f>
        <v>0</v>
      </c>
      <c r="N13" s="39">
        <f t="shared" ref="N13:N35" si="4">IF(AND(F13&gt;0,D13&gt;0),(D13-F13),0)</f>
        <v>0</v>
      </c>
      <c r="O13" s="39">
        <f t="shared" ref="O13:O35" si="5">IF(AND(E13&gt;0,G13&gt;0),(E13-G13),0)</f>
        <v>0</v>
      </c>
      <c r="P13" s="39">
        <f t="shared" ref="P13:P35" si="6">IF(AND(F13&gt;0,H13&gt;0),(F13-H13),0)</f>
        <v>0</v>
      </c>
      <c r="Q13" s="39">
        <f t="shared" ref="Q13:Q35" si="7">IF(AND(I13&gt;0,G13&gt;0),(G13-I13),0)</f>
        <v>0</v>
      </c>
    </row>
    <row r="14" spans="1:17" ht="15.75" customHeight="1" x14ac:dyDescent="0.3">
      <c r="A14" s="38" t="str">
        <f>Masters!C3</f>
        <v>94C - Contract Receipts</v>
      </c>
      <c r="B14" s="39">
        <f>SUMIF(Reco!$A$12:$A$65,Summary!A14,Reco!$C$12:$C$65)</f>
        <v>0</v>
      </c>
      <c r="C14" s="39">
        <f>SUMIF(Reco!$A$12:$A$65,Summary!A14,Reco!$D$12:$D$65)</f>
        <v>0</v>
      </c>
      <c r="D14" s="39">
        <f>SUMIF(Reco!$A$12:$A$65,Summary!A14,Reco!$E$12:$E$65)</f>
        <v>0</v>
      </c>
      <c r="E14" s="39">
        <f>SUMIF(Reco!$A$12:$A$65,Summary!A14,Reco!$F$12:$F$65)</f>
        <v>0</v>
      </c>
      <c r="F14" s="39">
        <f>SUMIF(Reco!$A$12:$A$65,Summary!A14,Reco!$G$12:$G$65)</f>
        <v>0</v>
      </c>
      <c r="G14" s="39">
        <f>SUMIF(Reco!$A$12:$A$65,Summary!A14,Reco!$H$12:$H$65)</f>
        <v>0</v>
      </c>
      <c r="H14" s="39">
        <f>SUMIF(Reco!$A$12:$A$65,Summary!A14,Reco!$I$12:$I$65)</f>
        <v>0</v>
      </c>
      <c r="I14" s="40">
        <f>SUMIF(Reco!$A$12:$A$65,Summary!A14,Reco!$J$12:$J$65)</f>
        <v>0</v>
      </c>
      <c r="J14" s="39">
        <f t="shared" si="0"/>
        <v>0</v>
      </c>
      <c r="K14" s="39">
        <f t="shared" si="1"/>
        <v>0</v>
      </c>
      <c r="L14" s="39">
        <f t="shared" si="2"/>
        <v>0</v>
      </c>
      <c r="M14" s="39">
        <f t="shared" si="3"/>
        <v>0</v>
      </c>
      <c r="N14" s="39">
        <f t="shared" si="4"/>
        <v>0</v>
      </c>
      <c r="O14" s="39">
        <f t="shared" si="5"/>
        <v>0</v>
      </c>
      <c r="P14" s="39">
        <f t="shared" si="6"/>
        <v>0</v>
      </c>
      <c r="Q14" s="39">
        <f t="shared" si="7"/>
        <v>0</v>
      </c>
    </row>
    <row r="15" spans="1:17" ht="15.75" customHeight="1" x14ac:dyDescent="0.3">
      <c r="A15" s="38" t="str">
        <f>Masters!C4</f>
        <v>94JA - Technical Receipts</v>
      </c>
      <c r="B15" s="39">
        <f>SUMIF(Reco!$A$12:$A$65,Summary!A15,Reco!$C$12:$C$65)</f>
        <v>0</v>
      </c>
      <c r="C15" s="39">
        <f>SUMIF(Reco!$A$12:$A$65,Summary!A15,Reco!$D$12:$D$65)</f>
        <v>0</v>
      </c>
      <c r="D15" s="39">
        <f>SUMIF(Reco!$A$12:$A$65,Summary!A15,Reco!$E$12:$E$65)</f>
        <v>0</v>
      </c>
      <c r="E15" s="39">
        <f>SUMIF(Reco!$A$12:$A$65,Summary!A15,Reco!$F$12:$F$65)</f>
        <v>0</v>
      </c>
      <c r="F15" s="39">
        <f>SUMIF(Reco!$A$12:$A$65,Summary!A15,Reco!$G$12:$G$65)</f>
        <v>0</v>
      </c>
      <c r="G15" s="39">
        <f>SUMIF(Reco!$A$12:$A$65,Summary!A15,Reco!$H$12:$H$65)</f>
        <v>0</v>
      </c>
      <c r="H15" s="39">
        <f>SUMIF(Reco!$A$12:$A$65,Summary!A15,Reco!$I$12:$I$65)</f>
        <v>0</v>
      </c>
      <c r="I15" s="40">
        <f>SUMIF(Reco!$A$12:$A$65,Summary!A15,Reco!$J$12:$J$65)</f>
        <v>0</v>
      </c>
      <c r="J15" s="39">
        <f t="shared" si="0"/>
        <v>0</v>
      </c>
      <c r="K15" s="39">
        <f t="shared" si="1"/>
        <v>0</v>
      </c>
      <c r="L15" s="39">
        <f t="shared" si="2"/>
        <v>0</v>
      </c>
      <c r="M15" s="39">
        <f t="shared" si="3"/>
        <v>0</v>
      </c>
      <c r="N15" s="39">
        <f t="shared" si="4"/>
        <v>0</v>
      </c>
      <c r="O15" s="39">
        <f t="shared" si="5"/>
        <v>0</v>
      </c>
      <c r="P15" s="39">
        <f t="shared" si="6"/>
        <v>0</v>
      </c>
      <c r="Q15" s="39">
        <f t="shared" si="7"/>
        <v>0</v>
      </c>
    </row>
    <row r="16" spans="1:17" ht="15.75" customHeight="1" x14ac:dyDescent="0.3">
      <c r="A16" s="38" t="str">
        <f>Masters!C5</f>
        <v>94JB - Professional Receipts</v>
      </c>
      <c r="B16" s="39">
        <f>SUMIF(Reco!$A$12:$A$65,Summary!A16,Reco!$C$12:$C$65)</f>
        <v>0</v>
      </c>
      <c r="C16" s="39">
        <f>SUMIF(Reco!$A$12:$A$65,Summary!A16,Reco!$D$12:$D$65)</f>
        <v>0</v>
      </c>
      <c r="D16" s="39">
        <f>SUMIF(Reco!$A$12:$A$65,Summary!A16,Reco!$E$12:$E$65)</f>
        <v>0</v>
      </c>
      <c r="E16" s="39">
        <f>SUMIF(Reco!$A$12:$A$65,Summary!A16,Reco!$F$12:$F$65)</f>
        <v>0</v>
      </c>
      <c r="F16" s="39">
        <f>SUMIF(Reco!$A$12:$A$65,Summary!A16,Reco!$G$12:$G$65)</f>
        <v>0</v>
      </c>
      <c r="G16" s="39">
        <f>SUMIF(Reco!$A$12:$A$65,Summary!A16,Reco!$H$12:$H$65)</f>
        <v>0</v>
      </c>
      <c r="H16" s="39">
        <f>SUMIF(Reco!$A$12:$A$65,Summary!A16,Reco!$I$12:$I$65)</f>
        <v>0</v>
      </c>
      <c r="I16" s="40">
        <f>SUMIF(Reco!$A$12:$A$65,Summary!A16,Reco!$J$12:$J$65)</f>
        <v>0</v>
      </c>
      <c r="J16" s="39">
        <f t="shared" si="0"/>
        <v>0</v>
      </c>
      <c r="K16" s="39">
        <f t="shared" si="1"/>
        <v>0</v>
      </c>
      <c r="L16" s="39">
        <f t="shared" si="2"/>
        <v>0</v>
      </c>
      <c r="M16" s="39">
        <f t="shared" si="3"/>
        <v>0</v>
      </c>
      <c r="N16" s="39">
        <f t="shared" si="4"/>
        <v>0</v>
      </c>
      <c r="O16" s="39">
        <f t="shared" si="5"/>
        <v>0</v>
      </c>
      <c r="P16" s="39">
        <f t="shared" si="6"/>
        <v>0</v>
      </c>
      <c r="Q16" s="39">
        <f t="shared" si="7"/>
        <v>0</v>
      </c>
    </row>
    <row r="17" spans="1:17" ht="15.75" customHeight="1" x14ac:dyDescent="0.3">
      <c r="A17" s="38" t="str">
        <f>Masters!C6</f>
        <v xml:space="preserve">94IA - Rent Receipts (P &amp; M) </v>
      </c>
      <c r="B17" s="39">
        <f>SUMIF(Reco!$A$12:$A$65,Summary!A17,Reco!$C$12:$C$65)</f>
        <v>0</v>
      </c>
      <c r="C17" s="39">
        <f>SUMIF(Reco!$A$12:$A$65,Summary!A17,Reco!$D$12:$D$65)</f>
        <v>0</v>
      </c>
      <c r="D17" s="39">
        <f>SUMIF(Reco!$A$12:$A$65,Summary!A17,Reco!$E$12:$E$65)</f>
        <v>0</v>
      </c>
      <c r="E17" s="39">
        <f>SUMIF(Reco!$A$12:$A$65,Summary!A17,Reco!$F$12:$F$65)</f>
        <v>0</v>
      </c>
      <c r="F17" s="39">
        <f>SUMIF(Reco!$A$12:$A$65,Summary!A17,Reco!$G$12:$G$65)</f>
        <v>0</v>
      </c>
      <c r="G17" s="39">
        <f>SUMIF(Reco!$A$12:$A$65,Summary!A17,Reco!$H$12:$H$65)</f>
        <v>0</v>
      </c>
      <c r="H17" s="39">
        <f>SUMIF(Reco!$A$12:$A$65,Summary!A17,Reco!$I$12:$I$65)</f>
        <v>0</v>
      </c>
      <c r="I17" s="40">
        <f>SUMIF(Reco!$A$12:$A$65,Summary!A17,Reco!$J$12:$J$65)</f>
        <v>0</v>
      </c>
      <c r="J17" s="39">
        <f t="shared" si="0"/>
        <v>0</v>
      </c>
      <c r="K17" s="39">
        <f t="shared" si="1"/>
        <v>0</v>
      </c>
      <c r="L17" s="39">
        <f t="shared" si="2"/>
        <v>0</v>
      </c>
      <c r="M17" s="39">
        <f t="shared" si="3"/>
        <v>0</v>
      </c>
      <c r="N17" s="39">
        <f t="shared" si="4"/>
        <v>0</v>
      </c>
      <c r="O17" s="39">
        <f t="shared" si="5"/>
        <v>0</v>
      </c>
      <c r="P17" s="39">
        <f t="shared" si="6"/>
        <v>0</v>
      </c>
      <c r="Q17" s="39">
        <f t="shared" si="7"/>
        <v>0</v>
      </c>
    </row>
    <row r="18" spans="1:17" ht="15.75" customHeight="1" x14ac:dyDescent="0.3">
      <c r="A18" s="38" t="str">
        <f>Masters!C7</f>
        <v xml:space="preserve">94IB - Rent Receipts (L &amp; B) </v>
      </c>
      <c r="B18" s="39">
        <f>SUMIF(Reco!$A$12:$A$65,Summary!A18,Reco!$C$12:$C$65)</f>
        <v>0</v>
      </c>
      <c r="C18" s="39">
        <f>SUMIF(Reco!$A$12:$A$65,Summary!A18,Reco!$D$12:$D$65)</f>
        <v>0</v>
      </c>
      <c r="D18" s="39">
        <f>SUMIF(Reco!$A$12:$A$65,Summary!A18,Reco!$E$12:$E$65)</f>
        <v>0</v>
      </c>
      <c r="E18" s="39">
        <f>SUMIF(Reco!$A$12:$A$65,Summary!A18,Reco!$F$12:$F$65)</f>
        <v>0</v>
      </c>
      <c r="F18" s="39">
        <f>SUMIF(Reco!$A$12:$A$65,Summary!A18,Reco!$G$12:$G$65)</f>
        <v>0</v>
      </c>
      <c r="G18" s="39">
        <f>SUMIF(Reco!$A$12:$A$65,Summary!A18,Reco!$H$12:$H$65)</f>
        <v>0</v>
      </c>
      <c r="H18" s="39">
        <f>SUMIF(Reco!$A$12:$A$65,Summary!A18,Reco!$I$12:$I$65)</f>
        <v>0</v>
      </c>
      <c r="I18" s="40">
        <f>SUMIF(Reco!$A$12:$A$65,Summary!A18,Reco!$J$12:$J$65)</f>
        <v>0</v>
      </c>
      <c r="J18" s="39">
        <f t="shared" si="0"/>
        <v>0</v>
      </c>
      <c r="K18" s="39">
        <f t="shared" si="1"/>
        <v>0</v>
      </c>
      <c r="L18" s="39">
        <f t="shared" si="2"/>
        <v>0</v>
      </c>
      <c r="M18" s="39">
        <f t="shared" si="3"/>
        <v>0</v>
      </c>
      <c r="N18" s="39">
        <f t="shared" si="4"/>
        <v>0</v>
      </c>
      <c r="O18" s="39">
        <f t="shared" si="5"/>
        <v>0</v>
      </c>
      <c r="P18" s="39">
        <f t="shared" si="6"/>
        <v>0</v>
      </c>
      <c r="Q18" s="39">
        <f t="shared" si="7"/>
        <v>0</v>
      </c>
    </row>
    <row r="19" spans="1:17" ht="15.75" customHeight="1" x14ac:dyDescent="0.3">
      <c r="A19" s="38" t="str">
        <f>Masters!C8</f>
        <v>94A - Interest Receipts</v>
      </c>
      <c r="B19" s="39">
        <f>SUMIF(Reco!$A$12:$A$65,Summary!A19,Reco!$C$12:$C$65)</f>
        <v>0</v>
      </c>
      <c r="C19" s="39">
        <f>SUMIF(Reco!$A$12:$A$65,Summary!A19,Reco!$D$12:$D$65)</f>
        <v>0</v>
      </c>
      <c r="D19" s="39">
        <f>SUMIF(Reco!$A$12:$A$65,Summary!A19,Reco!$E$12:$E$65)</f>
        <v>0</v>
      </c>
      <c r="E19" s="39">
        <f>SUMIF(Reco!$A$12:$A$65,Summary!A19,Reco!$F$12:$F$65)</f>
        <v>0</v>
      </c>
      <c r="F19" s="39">
        <f>SUMIF(Reco!$A$12:$A$65,Summary!A19,Reco!$G$12:$G$65)</f>
        <v>0</v>
      </c>
      <c r="G19" s="39">
        <f>SUMIF(Reco!$A$12:$A$65,Summary!A19,Reco!$H$12:$H$65)</f>
        <v>0</v>
      </c>
      <c r="H19" s="39">
        <f>SUMIF(Reco!$A$12:$A$65,Summary!A19,Reco!$I$12:$I$65)</f>
        <v>0</v>
      </c>
      <c r="I19" s="40">
        <f>SUMIF(Reco!$A$12:$A$65,Summary!A19,Reco!$J$12:$J$65)</f>
        <v>0</v>
      </c>
      <c r="J19" s="39">
        <f t="shared" si="0"/>
        <v>0</v>
      </c>
      <c r="K19" s="39">
        <f t="shared" si="1"/>
        <v>0</v>
      </c>
      <c r="L19" s="39">
        <f t="shared" si="2"/>
        <v>0</v>
      </c>
      <c r="M19" s="39">
        <f t="shared" si="3"/>
        <v>0</v>
      </c>
      <c r="N19" s="39">
        <f t="shared" si="4"/>
        <v>0</v>
      </c>
      <c r="O19" s="39">
        <f t="shared" si="5"/>
        <v>0</v>
      </c>
      <c r="P19" s="39">
        <f t="shared" si="6"/>
        <v>0</v>
      </c>
      <c r="Q19" s="39">
        <f t="shared" si="7"/>
        <v>0</v>
      </c>
    </row>
    <row r="20" spans="1:17" ht="15.75" customHeight="1" x14ac:dyDescent="0.3">
      <c r="A20" s="38" t="str">
        <f>Masters!C9</f>
        <v>94Q - Purchases</v>
      </c>
      <c r="B20" s="39">
        <f>SUMIF(Reco!$A$12:$A$65,Summary!A20,Reco!$C$12:$C$65)</f>
        <v>0</v>
      </c>
      <c r="C20" s="39">
        <f>SUMIF(Reco!$A$12:$A$65,Summary!A20,Reco!$D$12:$D$65)</f>
        <v>0</v>
      </c>
      <c r="D20" s="39">
        <f>SUMIF(Reco!$A$12:$A$65,Summary!A20,Reco!$E$12:$E$65)</f>
        <v>0</v>
      </c>
      <c r="E20" s="39">
        <f>SUMIF(Reco!$A$12:$A$65,Summary!A20,Reco!$F$12:$F$65)</f>
        <v>0</v>
      </c>
      <c r="F20" s="39">
        <f>SUMIF(Reco!$A$12:$A$65,Summary!A20,Reco!$G$12:$G$65)</f>
        <v>0</v>
      </c>
      <c r="G20" s="39">
        <f>SUMIF(Reco!$A$12:$A$65,Summary!A20,Reco!$H$12:$H$65)</f>
        <v>0</v>
      </c>
      <c r="H20" s="39">
        <f>SUMIF(Reco!$A$12:$A$65,Summary!A20,Reco!$I$12:$I$65)</f>
        <v>0</v>
      </c>
      <c r="I20" s="40">
        <f>SUMIF(Reco!$A$12:$A$65,Summary!A20,Reco!$J$12:$J$65)</f>
        <v>0</v>
      </c>
      <c r="J20" s="39">
        <f t="shared" si="0"/>
        <v>0</v>
      </c>
      <c r="K20" s="39">
        <f t="shared" si="1"/>
        <v>0</v>
      </c>
      <c r="L20" s="39">
        <f t="shared" si="2"/>
        <v>0</v>
      </c>
      <c r="M20" s="39">
        <f t="shared" si="3"/>
        <v>0</v>
      </c>
      <c r="N20" s="39">
        <f t="shared" si="4"/>
        <v>0</v>
      </c>
      <c r="O20" s="39">
        <f t="shared" si="5"/>
        <v>0</v>
      </c>
      <c r="P20" s="39">
        <f t="shared" si="6"/>
        <v>0</v>
      </c>
      <c r="Q20" s="39">
        <f t="shared" si="7"/>
        <v>0</v>
      </c>
    </row>
    <row r="21" spans="1:17" ht="15.75" customHeight="1" x14ac:dyDescent="0.3">
      <c r="A21" s="38" t="str">
        <f>Masters!C10</f>
        <v>94H - Commission Receipts</v>
      </c>
      <c r="B21" s="39">
        <f>SUMIF(Reco!$A$12:$A$65,Summary!A21,Reco!$C$12:$C$65)</f>
        <v>0</v>
      </c>
      <c r="C21" s="39">
        <f>SUMIF(Reco!$A$12:$A$65,Summary!A21,Reco!$D$12:$D$65)</f>
        <v>0</v>
      </c>
      <c r="D21" s="39">
        <f>SUMIF(Reco!$A$12:$A$65,Summary!A21,Reco!$E$12:$E$65)</f>
        <v>0</v>
      </c>
      <c r="E21" s="39">
        <f>SUMIF(Reco!$A$12:$A$65,Summary!A21,Reco!$F$12:$F$65)</f>
        <v>0</v>
      </c>
      <c r="F21" s="39">
        <f>SUMIF(Reco!$A$12:$A$65,Summary!A21,Reco!$G$12:$G$65)</f>
        <v>0</v>
      </c>
      <c r="G21" s="39">
        <f>SUMIF(Reco!$A$12:$A$65,Summary!A21,Reco!$H$12:$H$65)</f>
        <v>0</v>
      </c>
      <c r="H21" s="39">
        <f>SUMIF(Reco!$A$12:$A$65,Summary!A21,Reco!$I$12:$I$65)</f>
        <v>0</v>
      </c>
      <c r="I21" s="40">
        <f>SUMIF(Reco!$A$12:$A$65,Summary!A21,Reco!$J$12:$J$65)</f>
        <v>0</v>
      </c>
      <c r="J21" s="39">
        <f t="shared" si="0"/>
        <v>0</v>
      </c>
      <c r="K21" s="39">
        <f t="shared" si="1"/>
        <v>0</v>
      </c>
      <c r="L21" s="39">
        <f t="shared" si="2"/>
        <v>0</v>
      </c>
      <c r="M21" s="39">
        <f t="shared" si="3"/>
        <v>0</v>
      </c>
      <c r="N21" s="39">
        <f t="shared" si="4"/>
        <v>0</v>
      </c>
      <c r="O21" s="39">
        <f t="shared" si="5"/>
        <v>0</v>
      </c>
      <c r="P21" s="39">
        <f t="shared" si="6"/>
        <v>0</v>
      </c>
      <c r="Q21" s="39">
        <f t="shared" si="7"/>
        <v>0</v>
      </c>
    </row>
    <row r="22" spans="1:17" ht="15.75" customHeight="1" x14ac:dyDescent="0.3">
      <c r="A22" s="38" t="str">
        <f>Masters!C11</f>
        <v>94L - Property Transactions</v>
      </c>
      <c r="B22" s="39">
        <f>SUMIF(Reco!$A$12:$A$65,Summary!A22,Reco!$C$12:$C$65)</f>
        <v>0</v>
      </c>
      <c r="C22" s="39">
        <f>SUMIF(Reco!$A$12:$A$65,Summary!A22,Reco!$D$12:$D$65)</f>
        <v>0</v>
      </c>
      <c r="D22" s="39">
        <f>SUMIF(Reco!$A$12:$A$65,Summary!A22,Reco!$E$12:$E$65)</f>
        <v>0</v>
      </c>
      <c r="E22" s="39">
        <f>SUMIF(Reco!$A$12:$A$65,Summary!A22,Reco!$F$12:$F$65)</f>
        <v>0</v>
      </c>
      <c r="F22" s="39">
        <f>SUMIF(Reco!$A$12:$A$65,Summary!A22,Reco!$G$12:$G$65)</f>
        <v>0</v>
      </c>
      <c r="G22" s="39">
        <f>SUMIF(Reco!$A$12:$A$65,Summary!A22,Reco!$H$12:$H$65)</f>
        <v>0</v>
      </c>
      <c r="H22" s="39">
        <f>SUMIF(Reco!$A$12:$A$65,Summary!A22,Reco!$I$12:$I$65)</f>
        <v>0</v>
      </c>
      <c r="I22" s="40">
        <f>SUMIF(Reco!$A$12:$A$65,Summary!A22,Reco!$J$12:$J$65)</f>
        <v>0</v>
      </c>
      <c r="J22" s="39">
        <f t="shared" si="0"/>
        <v>0</v>
      </c>
      <c r="K22" s="39">
        <f t="shared" si="1"/>
        <v>0</v>
      </c>
      <c r="L22" s="39">
        <f t="shared" si="2"/>
        <v>0</v>
      </c>
      <c r="M22" s="39">
        <f t="shared" si="3"/>
        <v>0</v>
      </c>
      <c r="N22" s="39">
        <f t="shared" si="4"/>
        <v>0</v>
      </c>
      <c r="O22" s="39">
        <f t="shared" si="5"/>
        <v>0</v>
      </c>
      <c r="P22" s="39">
        <f t="shared" si="6"/>
        <v>0</v>
      </c>
      <c r="Q22" s="39">
        <f t="shared" si="7"/>
        <v>0</v>
      </c>
    </row>
    <row r="23" spans="1:17" ht="15.75" customHeight="1" x14ac:dyDescent="0.3">
      <c r="A23" s="38" t="str">
        <f>Masters!C12</f>
        <v>Purchase of Securities</v>
      </c>
      <c r="B23" s="39">
        <f>SUMIF(Reco!$A$12:$A$65,Summary!A23,Reco!$C$12:$C$65)</f>
        <v>0</v>
      </c>
      <c r="C23" s="39">
        <f>SUMIF(Reco!$A$12:$A$65,Summary!A23,Reco!$D$12:$D$65)</f>
        <v>0</v>
      </c>
      <c r="D23" s="39">
        <f>SUMIF(Reco!$A$12:$A$65,Summary!A23,Reco!$E$12:$E$65)</f>
        <v>0</v>
      </c>
      <c r="E23" s="39">
        <f>SUMIF(Reco!$A$12:$A$65,Summary!A23,Reco!$F$12:$F$65)</f>
        <v>0</v>
      </c>
      <c r="F23" s="39">
        <f>SUMIF(Reco!$A$12:$A$65,Summary!A23,Reco!$G$12:$G$65)</f>
        <v>0</v>
      </c>
      <c r="G23" s="39">
        <f>SUMIF(Reco!$A$12:$A$65,Summary!A23,Reco!$H$12:$H$65)</f>
        <v>0</v>
      </c>
      <c r="H23" s="39">
        <f>SUMIF(Reco!$A$12:$A$65,Summary!A23,Reco!$I$12:$I$65)</f>
        <v>0</v>
      </c>
      <c r="I23" s="40">
        <f>SUMIF(Reco!$A$12:$A$65,Summary!A23,Reco!$J$12:$J$65)</f>
        <v>0</v>
      </c>
      <c r="J23" s="39">
        <f t="shared" si="0"/>
        <v>0</v>
      </c>
      <c r="K23" s="39">
        <f t="shared" si="1"/>
        <v>0</v>
      </c>
      <c r="L23" s="39">
        <f t="shared" si="2"/>
        <v>0</v>
      </c>
      <c r="M23" s="39">
        <f t="shared" si="3"/>
        <v>0</v>
      </c>
      <c r="N23" s="39">
        <f t="shared" si="4"/>
        <v>0</v>
      </c>
      <c r="O23" s="39">
        <f t="shared" si="5"/>
        <v>0</v>
      </c>
      <c r="P23" s="39">
        <f t="shared" si="6"/>
        <v>0</v>
      </c>
      <c r="Q23" s="39">
        <f t="shared" si="7"/>
        <v>0</v>
      </c>
    </row>
    <row r="24" spans="1:17" ht="15.75" customHeight="1" x14ac:dyDescent="0.3">
      <c r="A24" s="38" t="str">
        <f>Masters!C13</f>
        <v>Sale of Securities</v>
      </c>
      <c r="B24" s="39">
        <f>SUMIF(Reco!$A$12:$A$65,Summary!A24,Reco!$C$12:$C$65)</f>
        <v>0</v>
      </c>
      <c r="C24" s="39">
        <f>SUMIF(Reco!$A$12:$A$65,Summary!A24,Reco!$D$12:$D$65)</f>
        <v>0</v>
      </c>
      <c r="D24" s="39">
        <f>SUMIF(Reco!$A$12:$A$65,Summary!A24,Reco!$E$12:$E$65)</f>
        <v>0</v>
      </c>
      <c r="E24" s="39">
        <f>SUMIF(Reco!$A$12:$A$65,Summary!A24,Reco!$F$12:$F$65)</f>
        <v>0</v>
      </c>
      <c r="F24" s="39">
        <f>SUMIF(Reco!$A$12:$A$65,Summary!A24,Reco!$G$12:$G$65)</f>
        <v>0</v>
      </c>
      <c r="G24" s="39">
        <f>SUMIF(Reco!$A$12:$A$65,Summary!A24,Reco!$H$12:$H$65)</f>
        <v>0</v>
      </c>
      <c r="H24" s="39">
        <f>SUMIF(Reco!$A$12:$A$65,Summary!A24,Reco!$I$12:$I$65)</f>
        <v>0</v>
      </c>
      <c r="I24" s="40">
        <f>SUMIF(Reco!$A$12:$A$65,Summary!A24,Reco!$J$12:$J$65)</f>
        <v>0</v>
      </c>
      <c r="J24" s="39">
        <f t="shared" si="0"/>
        <v>0</v>
      </c>
      <c r="K24" s="39">
        <f t="shared" si="1"/>
        <v>0</v>
      </c>
      <c r="L24" s="39">
        <f t="shared" si="2"/>
        <v>0</v>
      </c>
      <c r="M24" s="39">
        <f t="shared" si="3"/>
        <v>0</v>
      </c>
      <c r="N24" s="39">
        <f t="shared" si="4"/>
        <v>0</v>
      </c>
      <c r="O24" s="39">
        <f t="shared" si="5"/>
        <v>0</v>
      </c>
      <c r="P24" s="39">
        <f t="shared" si="6"/>
        <v>0</v>
      </c>
      <c r="Q24" s="39">
        <f t="shared" si="7"/>
        <v>0</v>
      </c>
    </row>
    <row r="25" spans="1:17" ht="15.75" customHeight="1" x14ac:dyDescent="0.3">
      <c r="A25" s="38" t="str">
        <f>Masters!C14</f>
        <v>GST Sales</v>
      </c>
      <c r="B25" s="39">
        <f>SUMIF(Reco!$A$12:$A$65,Summary!A25,Reco!$C$12:$C$65)</f>
        <v>0</v>
      </c>
      <c r="C25" s="39">
        <f>SUMIF(Reco!$A$12:$A$65,Summary!A25,Reco!$D$12:$D$65)</f>
        <v>0</v>
      </c>
      <c r="D25" s="39">
        <f>SUMIF(Reco!$A$12:$A$65,Summary!A25,Reco!$E$12:$E$65)</f>
        <v>0</v>
      </c>
      <c r="E25" s="39">
        <f>SUMIF(Reco!$A$12:$A$65,Summary!A25,Reco!$F$12:$F$65)</f>
        <v>0</v>
      </c>
      <c r="F25" s="39">
        <f>SUMIF(Reco!$A$12:$A$65,Summary!A25,Reco!$G$12:$G$65)</f>
        <v>0</v>
      </c>
      <c r="G25" s="39">
        <f>SUMIF(Reco!$A$12:$A$65,Summary!A25,Reco!$H$12:$H$65)</f>
        <v>0</v>
      </c>
      <c r="H25" s="39">
        <f>SUMIF(Reco!$A$12:$A$65,Summary!A25,Reco!$I$12:$I$65)</f>
        <v>0</v>
      </c>
      <c r="I25" s="40">
        <f>SUMIF(Reco!$A$12:$A$65,Summary!A25,Reco!$J$12:$J$65)</f>
        <v>0</v>
      </c>
      <c r="J25" s="39">
        <f t="shared" si="0"/>
        <v>0</v>
      </c>
      <c r="K25" s="39">
        <f t="shared" si="1"/>
        <v>0</v>
      </c>
      <c r="L25" s="39">
        <f t="shared" si="2"/>
        <v>0</v>
      </c>
      <c r="M25" s="39">
        <f t="shared" si="3"/>
        <v>0</v>
      </c>
      <c r="N25" s="39">
        <f t="shared" si="4"/>
        <v>0</v>
      </c>
      <c r="O25" s="39">
        <f t="shared" si="5"/>
        <v>0</v>
      </c>
      <c r="P25" s="39">
        <f t="shared" si="6"/>
        <v>0</v>
      </c>
      <c r="Q25" s="39">
        <f t="shared" si="7"/>
        <v>0</v>
      </c>
    </row>
    <row r="26" spans="1:17" ht="15.75" customHeight="1" x14ac:dyDescent="0.3">
      <c r="A26" s="38" t="str">
        <f>Masters!C15</f>
        <v>GST Purchases</v>
      </c>
      <c r="B26" s="39">
        <f>SUMIF(Reco!$A$12:$A$65,Summary!A26,Reco!$C$12:$C$65)</f>
        <v>0</v>
      </c>
      <c r="C26" s="39">
        <f>SUMIF(Reco!$A$12:$A$65,Summary!A26,Reco!$D$12:$D$65)</f>
        <v>0</v>
      </c>
      <c r="D26" s="39">
        <f>SUMIF(Reco!$A$12:$A$65,Summary!A26,Reco!$E$12:$E$65)</f>
        <v>0</v>
      </c>
      <c r="E26" s="39">
        <f>SUMIF(Reco!$A$12:$A$65,Summary!A26,Reco!$F$12:$F$65)</f>
        <v>0</v>
      </c>
      <c r="F26" s="39">
        <f>SUMIF(Reco!$A$12:$A$65,Summary!A26,Reco!$G$12:$G$65)</f>
        <v>0</v>
      </c>
      <c r="G26" s="39">
        <f>SUMIF(Reco!$A$12:$A$65,Summary!A26,Reco!$H$12:$H$65)</f>
        <v>0</v>
      </c>
      <c r="H26" s="39">
        <f>SUMIF(Reco!$A$12:$A$65,Summary!A26,Reco!$I$12:$I$65)</f>
        <v>0</v>
      </c>
      <c r="I26" s="40">
        <f>SUMIF(Reco!$A$12:$A$65,Summary!A26,Reco!$J$12:$J$65)</f>
        <v>0</v>
      </c>
      <c r="J26" s="39">
        <f t="shared" si="0"/>
        <v>0</v>
      </c>
      <c r="K26" s="39">
        <f t="shared" si="1"/>
        <v>0</v>
      </c>
      <c r="L26" s="39">
        <f t="shared" si="2"/>
        <v>0</v>
      </c>
      <c r="M26" s="39">
        <f t="shared" si="3"/>
        <v>0</v>
      </c>
      <c r="N26" s="39">
        <f t="shared" si="4"/>
        <v>0</v>
      </c>
      <c r="O26" s="39">
        <f t="shared" si="5"/>
        <v>0</v>
      </c>
      <c r="P26" s="39">
        <f t="shared" si="6"/>
        <v>0</v>
      </c>
      <c r="Q26" s="39">
        <f t="shared" si="7"/>
        <v>0</v>
      </c>
    </row>
    <row r="27" spans="1:17" ht="15.75" customHeight="1" x14ac:dyDescent="0.3">
      <c r="A27" s="38" t="str">
        <f>Masters!C16</f>
        <v>Advance Tax</v>
      </c>
      <c r="B27" s="39">
        <f>SUMIF(Reco!$A$12:$A$65,Summary!A27,Reco!$C$12:$C$65)</f>
        <v>0</v>
      </c>
      <c r="C27" s="39">
        <f>SUMIF(Reco!$A$12:$A$65,Summary!A27,Reco!$D$12:$D$65)</f>
        <v>0</v>
      </c>
      <c r="D27" s="39">
        <f>SUMIF(Reco!$A$12:$A$65,Summary!A27,Reco!$E$12:$E$65)</f>
        <v>0</v>
      </c>
      <c r="E27" s="39">
        <f>SUMIF(Reco!$A$12:$A$65,Summary!A27,Reco!$F$12:$F$65)</f>
        <v>0</v>
      </c>
      <c r="F27" s="39">
        <f>SUMIF(Reco!$A$12:$A$65,Summary!A27,Reco!$G$12:$G$65)</f>
        <v>0</v>
      </c>
      <c r="G27" s="39">
        <f>SUMIF(Reco!$A$12:$A$65,Summary!A27,Reco!$H$12:$H$65)</f>
        <v>0</v>
      </c>
      <c r="H27" s="39">
        <f>SUMIF(Reco!$A$12:$A$65,Summary!A27,Reco!$I$12:$I$65)</f>
        <v>0</v>
      </c>
      <c r="I27" s="40">
        <f>SUMIF(Reco!$A$12:$A$65,Summary!A27,Reco!$J$12:$J$65)</f>
        <v>0</v>
      </c>
      <c r="J27" s="39">
        <f t="shared" si="0"/>
        <v>0</v>
      </c>
      <c r="K27" s="39">
        <f t="shared" si="1"/>
        <v>0</v>
      </c>
      <c r="L27" s="39">
        <f t="shared" si="2"/>
        <v>0</v>
      </c>
      <c r="M27" s="39">
        <f t="shared" si="3"/>
        <v>0</v>
      </c>
      <c r="N27" s="39">
        <f t="shared" si="4"/>
        <v>0</v>
      </c>
      <c r="O27" s="39">
        <f t="shared" si="5"/>
        <v>0</v>
      </c>
      <c r="P27" s="39">
        <f t="shared" si="6"/>
        <v>0</v>
      </c>
      <c r="Q27" s="39">
        <f t="shared" si="7"/>
        <v>0</v>
      </c>
    </row>
    <row r="28" spans="1:17" ht="15.75" customHeight="1" x14ac:dyDescent="0.3">
      <c r="A28" s="38" t="str">
        <f>Masters!C17</f>
        <v>Cash Deposits</v>
      </c>
      <c r="B28" s="39">
        <f>SUMIF(Reco!$A$12:$A$65,Summary!A28,Reco!$C$12:$C$65)</f>
        <v>0</v>
      </c>
      <c r="C28" s="39">
        <f>SUMIF(Reco!$A$12:$A$65,Summary!A28,Reco!$D$12:$D$65)</f>
        <v>0</v>
      </c>
      <c r="D28" s="39">
        <f>SUMIF(Reco!$A$12:$A$65,Summary!A28,Reco!$E$12:$E$65)</f>
        <v>0</v>
      </c>
      <c r="E28" s="39">
        <f>SUMIF(Reco!$A$12:$A$65,Summary!A28,Reco!$F$12:$F$65)</f>
        <v>0</v>
      </c>
      <c r="F28" s="39">
        <f>SUMIF(Reco!$A$12:$A$65,Summary!A28,Reco!$G$12:$G$65)</f>
        <v>0</v>
      </c>
      <c r="G28" s="39">
        <f>SUMIF(Reco!$A$12:$A$65,Summary!A28,Reco!$H$12:$H$65)</f>
        <v>0</v>
      </c>
      <c r="H28" s="39">
        <f>SUMIF(Reco!$A$12:$A$65,Summary!A28,Reco!$I$12:$I$65)</f>
        <v>0</v>
      </c>
      <c r="I28" s="40">
        <f>SUMIF(Reco!$A$12:$A$65,Summary!A28,Reco!$J$12:$J$65)</f>
        <v>0</v>
      </c>
      <c r="J28" s="39">
        <f t="shared" si="0"/>
        <v>0</v>
      </c>
      <c r="K28" s="39">
        <f t="shared" si="1"/>
        <v>0</v>
      </c>
      <c r="L28" s="39">
        <f t="shared" si="2"/>
        <v>0</v>
      </c>
      <c r="M28" s="39">
        <f t="shared" si="3"/>
        <v>0</v>
      </c>
      <c r="N28" s="39">
        <f t="shared" si="4"/>
        <v>0</v>
      </c>
      <c r="O28" s="39">
        <f t="shared" si="5"/>
        <v>0</v>
      </c>
      <c r="P28" s="39">
        <f t="shared" si="6"/>
        <v>0</v>
      </c>
      <c r="Q28" s="39">
        <f t="shared" si="7"/>
        <v>0</v>
      </c>
    </row>
    <row r="29" spans="1:17" ht="15.75" customHeight="1" x14ac:dyDescent="0.3">
      <c r="A29" s="38" t="str">
        <f>Masters!C18</f>
        <v>Cash Withdrawals</v>
      </c>
      <c r="B29" s="39">
        <f>SUMIF(Reco!$A$12:$A$65,Summary!A29,Reco!$C$12:$C$65)</f>
        <v>0</v>
      </c>
      <c r="C29" s="39">
        <f>SUMIF(Reco!$A$12:$A$65,Summary!A29,Reco!$D$12:$D$65)</f>
        <v>0</v>
      </c>
      <c r="D29" s="39">
        <f>SUMIF(Reco!$A$12:$A$65,Summary!A29,Reco!$E$12:$E$65)</f>
        <v>0</v>
      </c>
      <c r="E29" s="39">
        <f>SUMIF(Reco!$A$12:$A$65,Summary!A29,Reco!$F$12:$F$65)</f>
        <v>0</v>
      </c>
      <c r="F29" s="39">
        <f>SUMIF(Reco!$A$12:$A$65,Summary!A29,Reco!$G$12:$G$65)</f>
        <v>0</v>
      </c>
      <c r="G29" s="39">
        <f>SUMIF(Reco!$A$12:$A$65,Summary!A29,Reco!$H$12:$H$65)</f>
        <v>0</v>
      </c>
      <c r="H29" s="39">
        <f>SUMIF(Reco!$A$12:$A$65,Summary!A29,Reco!$I$12:$I$65)</f>
        <v>0</v>
      </c>
      <c r="I29" s="40">
        <f>SUMIF(Reco!$A$12:$A$65,Summary!A29,Reco!$J$12:$J$65)</f>
        <v>0</v>
      </c>
      <c r="J29" s="39">
        <f t="shared" si="0"/>
        <v>0</v>
      </c>
      <c r="K29" s="39">
        <f t="shared" si="1"/>
        <v>0</v>
      </c>
      <c r="L29" s="39">
        <f t="shared" si="2"/>
        <v>0</v>
      </c>
      <c r="M29" s="39">
        <f t="shared" si="3"/>
        <v>0</v>
      </c>
      <c r="N29" s="39">
        <f t="shared" si="4"/>
        <v>0</v>
      </c>
      <c r="O29" s="39">
        <f t="shared" si="5"/>
        <v>0</v>
      </c>
      <c r="P29" s="39">
        <f t="shared" si="6"/>
        <v>0</v>
      </c>
      <c r="Q29" s="39">
        <f t="shared" si="7"/>
        <v>0</v>
      </c>
    </row>
    <row r="30" spans="1:17" ht="15.75" customHeight="1" x14ac:dyDescent="0.3">
      <c r="A30" s="38" t="str">
        <f>Masters!C19</f>
        <v>SAT</v>
      </c>
      <c r="B30" s="39">
        <f>SUMIF(Reco!$A$12:$A$65,Summary!A30,Reco!$C$12:$C$65)</f>
        <v>0</v>
      </c>
      <c r="C30" s="39">
        <f>SUMIF(Reco!$A$12:$A$65,Summary!A30,Reco!$D$12:$D$65)</f>
        <v>0</v>
      </c>
      <c r="D30" s="39">
        <f>SUMIF(Reco!$A$12:$A$65,Summary!A30,Reco!$E$12:$E$65)</f>
        <v>0</v>
      </c>
      <c r="E30" s="39">
        <f>SUMIF(Reco!$A$12:$A$65,Summary!A30,Reco!$F$12:$F$65)</f>
        <v>0</v>
      </c>
      <c r="F30" s="39">
        <f>SUMIF(Reco!$A$12:$A$65,Summary!A30,Reco!$G$12:$G$65)</f>
        <v>0</v>
      </c>
      <c r="G30" s="39">
        <f>SUMIF(Reco!$A$12:$A$65,Summary!A30,Reco!$H$12:$H$65)</f>
        <v>0</v>
      </c>
      <c r="H30" s="39">
        <f>SUMIF(Reco!$A$12:$A$65,Summary!A30,Reco!$I$12:$I$65)</f>
        <v>0</v>
      </c>
      <c r="I30" s="40">
        <f>SUMIF(Reco!$A$12:$A$65,Summary!A30,Reco!$J$12:$J$65)</f>
        <v>0</v>
      </c>
      <c r="J30" s="39">
        <f t="shared" si="0"/>
        <v>0</v>
      </c>
      <c r="K30" s="39">
        <f t="shared" si="1"/>
        <v>0</v>
      </c>
      <c r="L30" s="39">
        <f t="shared" si="2"/>
        <v>0</v>
      </c>
      <c r="M30" s="39">
        <f t="shared" si="3"/>
        <v>0</v>
      </c>
      <c r="N30" s="39">
        <f t="shared" si="4"/>
        <v>0</v>
      </c>
      <c r="O30" s="39">
        <f t="shared" si="5"/>
        <v>0</v>
      </c>
      <c r="P30" s="39">
        <f t="shared" si="6"/>
        <v>0</v>
      </c>
      <c r="Q30" s="39">
        <f t="shared" si="7"/>
        <v>0</v>
      </c>
    </row>
    <row r="31" spans="1:17" ht="15.75" customHeight="1" x14ac:dyDescent="0.3">
      <c r="A31" s="38" t="str">
        <f>Masters!C20</f>
        <v>206CJ - TCS Purchases</v>
      </c>
      <c r="B31" s="39">
        <f>SUMIF(Reco!$A$12:$A$65,Summary!A31,Reco!$C$12:$C$65)</f>
        <v>0</v>
      </c>
      <c r="C31" s="39">
        <f>SUMIF(Reco!$A$12:$A$65,Summary!A31,Reco!$D$12:$D$65)</f>
        <v>0</v>
      </c>
      <c r="D31" s="39">
        <f>SUMIF(Reco!$A$12:$A$65,Summary!A31,Reco!$E$12:$E$65)</f>
        <v>0</v>
      </c>
      <c r="E31" s="39">
        <f>SUMIF(Reco!$A$12:$A$65,Summary!A31,Reco!$F$12:$F$65)</f>
        <v>0</v>
      </c>
      <c r="F31" s="39">
        <f>SUMIF(Reco!$A$12:$A$65,Summary!A31,Reco!$G$12:$G$65)</f>
        <v>0</v>
      </c>
      <c r="G31" s="39">
        <f>SUMIF(Reco!$A$12:$A$65,Summary!A31,Reco!$H$12:$H$65)</f>
        <v>0</v>
      </c>
      <c r="H31" s="39">
        <f>SUMIF(Reco!$A$12:$A$65,Summary!A31,Reco!$I$12:$I$65)</f>
        <v>0</v>
      </c>
      <c r="I31" s="40">
        <f>SUMIF(Reco!$A$12:$A$65,Summary!A31,Reco!$J$12:$J$65)</f>
        <v>0</v>
      </c>
      <c r="J31" s="39">
        <f t="shared" si="0"/>
        <v>0</v>
      </c>
      <c r="K31" s="39">
        <f t="shared" si="1"/>
        <v>0</v>
      </c>
      <c r="L31" s="39">
        <f t="shared" si="2"/>
        <v>0</v>
      </c>
      <c r="M31" s="39">
        <f t="shared" si="3"/>
        <v>0</v>
      </c>
      <c r="N31" s="39">
        <f t="shared" si="4"/>
        <v>0</v>
      </c>
      <c r="O31" s="39">
        <f t="shared" si="5"/>
        <v>0</v>
      </c>
      <c r="P31" s="39">
        <f t="shared" si="6"/>
        <v>0</v>
      </c>
      <c r="Q31" s="39">
        <f t="shared" si="7"/>
        <v>0</v>
      </c>
    </row>
    <row r="32" spans="1:17" ht="15.75" customHeight="1" x14ac:dyDescent="0.3">
      <c r="A32" s="38" t="str">
        <f>Masters!C21</f>
        <v>206CE - TCS Purchases</v>
      </c>
      <c r="B32" s="39">
        <f>SUMIF(Reco!$A$12:$A$65,Summary!A32,Reco!$C$12:$C$65)</f>
        <v>0</v>
      </c>
      <c r="C32" s="39">
        <f>SUMIF(Reco!$A$12:$A$65,Summary!A32,Reco!$D$12:$D$65)</f>
        <v>0</v>
      </c>
      <c r="D32" s="39">
        <f>SUMIF(Reco!$A$12:$A$65,Summary!A32,Reco!$E$12:$E$65)</f>
        <v>0</v>
      </c>
      <c r="E32" s="39">
        <f>SUMIF(Reco!$A$12:$A$65,Summary!A32,Reco!$F$12:$F$65)</f>
        <v>0</v>
      </c>
      <c r="F32" s="39">
        <f>SUMIF(Reco!$A$12:$A$65,Summary!A32,Reco!$G$12:$G$65)</f>
        <v>0</v>
      </c>
      <c r="G32" s="39">
        <f>SUMIF(Reco!$A$12:$A$65,Summary!A32,Reco!$H$12:$H$65)</f>
        <v>0</v>
      </c>
      <c r="H32" s="39">
        <f>SUMIF(Reco!$A$12:$A$65,Summary!A32,Reco!$I$12:$I$65)</f>
        <v>0</v>
      </c>
      <c r="I32" s="40">
        <f>SUMIF(Reco!$A$12:$A$65,Summary!A32,Reco!$J$12:$J$65)</f>
        <v>0</v>
      </c>
      <c r="J32" s="39">
        <f t="shared" si="0"/>
        <v>0</v>
      </c>
      <c r="K32" s="39">
        <f t="shared" si="1"/>
        <v>0</v>
      </c>
      <c r="L32" s="39">
        <f t="shared" si="2"/>
        <v>0</v>
      </c>
      <c r="M32" s="39">
        <f t="shared" si="3"/>
        <v>0</v>
      </c>
      <c r="N32" s="39">
        <f t="shared" si="4"/>
        <v>0</v>
      </c>
      <c r="O32" s="39">
        <f t="shared" si="5"/>
        <v>0</v>
      </c>
      <c r="P32" s="39">
        <f t="shared" si="6"/>
        <v>0</v>
      </c>
      <c r="Q32" s="39">
        <f t="shared" si="7"/>
        <v>0</v>
      </c>
    </row>
    <row r="33" spans="1:17" ht="15.75" customHeight="1" x14ac:dyDescent="0.3">
      <c r="A33" s="38" t="str">
        <f>Masters!C22</f>
        <v>206CL - TCS Purchases</v>
      </c>
      <c r="B33" s="39">
        <f>SUMIF(Reco!$A$12:$A$65,Summary!A33,Reco!$C$12:$C$65)</f>
        <v>0</v>
      </c>
      <c r="C33" s="39">
        <f>SUMIF(Reco!$A$12:$A$65,Summary!A33,Reco!$D$12:$D$65)</f>
        <v>0</v>
      </c>
      <c r="D33" s="39">
        <f>SUMIF(Reco!$A$12:$A$65,Summary!A33,Reco!$E$12:$E$65)</f>
        <v>0</v>
      </c>
      <c r="E33" s="39">
        <f>SUMIF(Reco!$A$12:$A$65,Summary!A33,Reco!$F$12:$F$65)</f>
        <v>0</v>
      </c>
      <c r="F33" s="39">
        <f>SUMIF(Reco!$A$12:$A$65,Summary!A33,Reco!$G$12:$G$65)</f>
        <v>0</v>
      </c>
      <c r="G33" s="39">
        <f>SUMIF(Reco!$A$12:$A$65,Summary!A33,Reco!$H$12:$H$65)</f>
        <v>0</v>
      </c>
      <c r="H33" s="39">
        <f>SUMIF(Reco!$A$12:$A$65,Summary!A33,Reco!$I$12:$I$65)</f>
        <v>0</v>
      </c>
      <c r="I33" s="40">
        <f>SUMIF(Reco!$A$12:$A$65,Summary!A33,Reco!$J$12:$J$65)</f>
        <v>0</v>
      </c>
      <c r="J33" s="39">
        <f t="shared" si="0"/>
        <v>0</v>
      </c>
      <c r="K33" s="39">
        <f t="shared" si="1"/>
        <v>0</v>
      </c>
      <c r="L33" s="39">
        <f t="shared" si="2"/>
        <v>0</v>
      </c>
      <c r="M33" s="39">
        <f t="shared" si="3"/>
        <v>0</v>
      </c>
      <c r="N33" s="39">
        <f t="shared" si="4"/>
        <v>0</v>
      </c>
      <c r="O33" s="39">
        <f t="shared" si="5"/>
        <v>0</v>
      </c>
      <c r="P33" s="39">
        <f t="shared" si="6"/>
        <v>0</v>
      </c>
      <c r="Q33" s="39">
        <f t="shared" si="7"/>
        <v>0</v>
      </c>
    </row>
    <row r="34" spans="1:17" ht="15.75" customHeight="1" x14ac:dyDescent="0.3">
      <c r="A34" s="38" t="str">
        <f>Masters!C23</f>
        <v>206CR-TCS Purchases</v>
      </c>
      <c r="B34" s="39">
        <f>SUMIF(Reco!$A$12:$A$96,Summary!A34,Reco!$C$12:$C$96)</f>
        <v>0</v>
      </c>
      <c r="C34" s="39">
        <f>SUMIF(Reco!$A$12:$A$96,Summary!A34,Reco!$D$12:$D$96)</f>
        <v>0</v>
      </c>
      <c r="D34" s="39">
        <f>SUMIF(Reco!$A$12:$A$96,Summary!A34,Reco!$E$12:$E$96)</f>
        <v>0</v>
      </c>
      <c r="E34" s="39">
        <f>SUMIF(Reco!$A$12:$A$96,Summary!A34,Reco!$F$12:$F$96)</f>
        <v>0</v>
      </c>
      <c r="F34" s="39">
        <f ca="1">SUMIF(Reco!$A$12:$A$96,Summary!A34,Reco!$G$12:$G$94)</f>
        <v>0</v>
      </c>
      <c r="G34" s="39">
        <f>SUMIF(Reco!$A$12:$A$96,Summary!A34,Reco!$H$12:$H$96)</f>
        <v>0</v>
      </c>
      <c r="H34" s="39">
        <f>SUMIF(Reco!$A$12:$A$96,Summary!A34,Reco!$I$12:$I$96)</f>
        <v>0</v>
      </c>
      <c r="I34" s="40">
        <f>SUMIF(Reco!$A$12:$A$96,Summary!A34,Reco!$J$12:$J$96)</f>
        <v>0</v>
      </c>
      <c r="J34" s="39">
        <f t="shared" si="0"/>
        <v>0</v>
      </c>
      <c r="K34" s="39">
        <f t="shared" si="1"/>
        <v>0</v>
      </c>
      <c r="L34" s="39">
        <f t="shared" ca="1" si="2"/>
        <v>0</v>
      </c>
      <c r="M34" s="39">
        <f t="shared" si="3"/>
        <v>0</v>
      </c>
      <c r="N34" s="39">
        <f t="shared" ca="1" si="4"/>
        <v>0</v>
      </c>
      <c r="O34" s="39">
        <f t="shared" si="5"/>
        <v>0</v>
      </c>
      <c r="P34" s="39">
        <f t="shared" ca="1" si="6"/>
        <v>0</v>
      </c>
      <c r="Q34" s="39">
        <f t="shared" si="7"/>
        <v>0</v>
      </c>
    </row>
    <row r="35" spans="1:17" ht="15.75" customHeight="1" x14ac:dyDescent="0.3">
      <c r="A35" s="38" t="str">
        <f>Masters!C24</f>
        <v>94N - Cash Withdrawals</v>
      </c>
      <c r="B35" s="39">
        <f>SUMIF(Reco!$A$12:$A$96,Summary!A35,Reco!$C$12:$C$96)</f>
        <v>0</v>
      </c>
      <c r="C35" s="39">
        <f>SUMIF(Reco!$A$12:$A$96,Summary!A35,Reco!$D$12:$D$96)</f>
        <v>0</v>
      </c>
      <c r="D35" s="39">
        <f>SUMIF(Reco!$A$12:$A$96,Summary!A35,Reco!$E$12:$E$96)</f>
        <v>0</v>
      </c>
      <c r="E35" s="39">
        <f>SUMIF(Reco!$A$12:$A$96,Summary!A35,Reco!$F$12:$F$96)</f>
        <v>0</v>
      </c>
      <c r="F35" s="39">
        <f ca="1">SUMIF(Reco!$A$12:$A$96,Summary!A35,Reco!$G$12:$G$94)</f>
        <v>0</v>
      </c>
      <c r="G35" s="39">
        <f>SUMIF(Reco!$A$12:$A$96,Summary!A35,Reco!$H$12:$H$96)</f>
        <v>0</v>
      </c>
      <c r="H35" s="39">
        <f>SUMIF(Reco!$A$12:$A$96,Summary!A35,Reco!$I$12:$I$96)</f>
        <v>0</v>
      </c>
      <c r="I35" s="40">
        <f>SUMIF(Reco!$A$12:$A$96,Summary!A35,Reco!$J$12:$J$96)</f>
        <v>0</v>
      </c>
      <c r="J35" s="39">
        <f t="shared" si="0"/>
        <v>0</v>
      </c>
      <c r="K35" s="39">
        <f t="shared" si="1"/>
        <v>0</v>
      </c>
      <c r="L35" s="39">
        <f t="shared" ca="1" si="2"/>
        <v>0</v>
      </c>
      <c r="M35" s="39">
        <f t="shared" si="3"/>
        <v>0</v>
      </c>
      <c r="N35" s="39">
        <f t="shared" ca="1" si="4"/>
        <v>0</v>
      </c>
      <c r="O35" s="39">
        <f t="shared" si="5"/>
        <v>0</v>
      </c>
      <c r="P35" s="39">
        <f t="shared" ca="1" si="6"/>
        <v>0</v>
      </c>
      <c r="Q35" s="39">
        <f t="shared" si="7"/>
        <v>0</v>
      </c>
    </row>
    <row r="36" spans="1:17" ht="15.75" customHeight="1" x14ac:dyDescent="0.3">
      <c r="A36" s="41" t="s">
        <v>35</v>
      </c>
      <c r="B36" s="42">
        <f t="shared" ref="B36:Q36" si="8">SUM(B13:B35)</f>
        <v>0</v>
      </c>
      <c r="C36" s="42">
        <f t="shared" si="8"/>
        <v>0</v>
      </c>
      <c r="D36" s="42">
        <f t="shared" si="8"/>
        <v>0</v>
      </c>
      <c r="E36" s="42">
        <f t="shared" si="8"/>
        <v>0</v>
      </c>
      <c r="F36" s="42">
        <f t="shared" ca="1" si="8"/>
        <v>0</v>
      </c>
      <c r="G36" s="42">
        <f t="shared" si="8"/>
        <v>0</v>
      </c>
      <c r="H36" s="42">
        <f t="shared" si="8"/>
        <v>0</v>
      </c>
      <c r="I36" s="43">
        <f t="shared" si="8"/>
        <v>0</v>
      </c>
      <c r="J36" s="43">
        <f t="shared" si="8"/>
        <v>0</v>
      </c>
      <c r="K36" s="43">
        <f t="shared" si="8"/>
        <v>0</v>
      </c>
      <c r="L36" s="43">
        <f t="shared" ca="1" si="8"/>
        <v>0</v>
      </c>
      <c r="M36" s="43">
        <f t="shared" si="8"/>
        <v>0</v>
      </c>
      <c r="N36" s="43">
        <f t="shared" ca="1" si="8"/>
        <v>0</v>
      </c>
      <c r="O36" s="43">
        <f t="shared" si="8"/>
        <v>0</v>
      </c>
      <c r="P36" s="43">
        <f t="shared" ca="1" si="8"/>
        <v>0</v>
      </c>
      <c r="Q36" s="43">
        <f t="shared" si="8"/>
        <v>0</v>
      </c>
    </row>
    <row r="37" spans="1:17" ht="15" customHeight="1" x14ac:dyDescent="0.3">
      <c r="B37" s="44">
        <f>B36-Reco!C9</f>
        <v>0</v>
      </c>
      <c r="C37" s="44">
        <f>C36-Reco!D9</f>
        <v>0</v>
      </c>
      <c r="D37" s="44">
        <f>D36-Reco!E9</f>
        <v>0</v>
      </c>
      <c r="E37" s="44">
        <f>E36-Reco!F9</f>
        <v>0</v>
      </c>
      <c r="F37" s="44">
        <f ca="1">F36-Reco!G9</f>
        <v>0</v>
      </c>
      <c r="G37" s="44">
        <f>G36-Reco!H9</f>
        <v>0</v>
      </c>
      <c r="H37" s="44">
        <f>H36-Reco!I9</f>
        <v>0</v>
      </c>
      <c r="I37" s="44">
        <f>I36-Reco!J9</f>
        <v>0</v>
      </c>
    </row>
  </sheetData>
  <mergeCells count="14">
    <mergeCell ref="B5:D5"/>
    <mergeCell ref="B6:D6"/>
    <mergeCell ref="B7:D7"/>
    <mergeCell ref="B8:D8"/>
    <mergeCell ref="A11:A12"/>
    <mergeCell ref="B11:C11"/>
    <mergeCell ref="D11:E11"/>
    <mergeCell ref="F11:G11"/>
    <mergeCell ref="H11:I11"/>
    <mergeCell ref="J11:Q11"/>
    <mergeCell ref="J12:K12"/>
    <mergeCell ref="L12:M12"/>
    <mergeCell ref="N12:O12"/>
    <mergeCell ref="P12:Q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24"/>
  <sheetViews>
    <sheetView zoomScaleNormal="100" workbookViewId="0">
      <selection activeCell="C23" sqref="C23"/>
    </sheetView>
  </sheetViews>
  <sheetFormatPr defaultColWidth="8.6640625" defaultRowHeight="14.4" x14ac:dyDescent="0.3"/>
  <cols>
    <col min="3" max="3" width="18.5546875" customWidth="1"/>
  </cols>
  <sheetData>
    <row r="2" spans="1:7" ht="15" customHeight="1" x14ac:dyDescent="0.3">
      <c r="A2" t="s">
        <v>36</v>
      </c>
      <c r="C2" t="s">
        <v>37</v>
      </c>
      <c r="E2" t="s">
        <v>9</v>
      </c>
      <c r="G2" t="s">
        <v>38</v>
      </c>
    </row>
    <row r="3" spans="1:7" ht="15" customHeight="1" x14ac:dyDescent="0.3">
      <c r="A3" t="s">
        <v>39</v>
      </c>
      <c r="C3" t="s">
        <v>28</v>
      </c>
      <c r="E3" t="s">
        <v>40</v>
      </c>
      <c r="G3" t="s">
        <v>41</v>
      </c>
    </row>
    <row r="4" spans="1:7" ht="15" customHeight="1" x14ac:dyDescent="0.3">
      <c r="A4" t="s">
        <v>42</v>
      </c>
      <c r="C4" t="s">
        <v>43</v>
      </c>
      <c r="E4" t="s">
        <v>44</v>
      </c>
      <c r="G4" t="s">
        <v>27</v>
      </c>
    </row>
    <row r="5" spans="1:7" ht="15" customHeight="1" x14ac:dyDescent="0.3">
      <c r="A5" t="s">
        <v>45</v>
      </c>
      <c r="C5" t="s">
        <v>46</v>
      </c>
      <c r="E5" t="s">
        <v>47</v>
      </c>
      <c r="G5" t="s">
        <v>48</v>
      </c>
    </row>
    <row r="6" spans="1:7" ht="15" customHeight="1" x14ac:dyDescent="0.3">
      <c r="A6" t="s">
        <v>7</v>
      </c>
      <c r="C6" t="s">
        <v>49</v>
      </c>
      <c r="E6" t="s">
        <v>50</v>
      </c>
    </row>
    <row r="7" spans="1:7" ht="15" customHeight="1" x14ac:dyDescent="0.3">
      <c r="A7" t="s">
        <v>5</v>
      </c>
      <c r="C7" t="s">
        <v>51</v>
      </c>
      <c r="E7" t="s">
        <v>52</v>
      </c>
    </row>
    <row r="8" spans="1:7" ht="15" customHeight="1" x14ac:dyDescent="0.3">
      <c r="C8" t="s">
        <v>26</v>
      </c>
      <c r="E8" t="s">
        <v>53</v>
      </c>
    </row>
    <row r="9" spans="1:7" ht="15" customHeight="1" x14ac:dyDescent="0.3">
      <c r="C9" t="s">
        <v>54</v>
      </c>
    </row>
    <row r="10" spans="1:7" ht="15" customHeight="1" x14ac:dyDescent="0.3">
      <c r="C10" t="s">
        <v>29</v>
      </c>
    </row>
    <row r="11" spans="1:7" ht="15" customHeight="1" x14ac:dyDescent="0.3">
      <c r="C11" t="s">
        <v>55</v>
      </c>
    </row>
    <row r="12" spans="1:7" ht="15" customHeight="1" x14ac:dyDescent="0.3">
      <c r="C12" t="s">
        <v>56</v>
      </c>
    </row>
    <row r="13" spans="1:7" ht="15" customHeight="1" x14ac:dyDescent="0.3">
      <c r="C13" t="s">
        <v>57</v>
      </c>
    </row>
    <row r="14" spans="1:7" ht="15" customHeight="1" x14ac:dyDescent="0.3">
      <c r="C14" t="s">
        <v>31</v>
      </c>
    </row>
    <row r="15" spans="1:7" ht="15" customHeight="1" x14ac:dyDescent="0.3">
      <c r="C15" t="s">
        <v>32</v>
      </c>
    </row>
    <row r="16" spans="1:7" ht="15" customHeight="1" x14ac:dyDescent="0.3">
      <c r="C16" t="s">
        <v>58</v>
      </c>
    </row>
    <row r="17" spans="3:3" ht="15" customHeight="1" x14ac:dyDescent="0.3">
      <c r="C17" t="s">
        <v>59</v>
      </c>
    </row>
    <row r="18" spans="3:3" ht="15" customHeight="1" x14ac:dyDescent="0.3">
      <c r="C18" t="s">
        <v>60</v>
      </c>
    </row>
    <row r="19" spans="3:3" ht="15" customHeight="1" x14ac:dyDescent="0.3">
      <c r="C19" t="s">
        <v>61</v>
      </c>
    </row>
    <row r="20" spans="3:3" ht="15" customHeight="1" x14ac:dyDescent="0.3">
      <c r="C20" t="s">
        <v>62</v>
      </c>
    </row>
    <row r="21" spans="3:3" ht="15" customHeight="1" x14ac:dyDescent="0.3">
      <c r="C21" t="s">
        <v>63</v>
      </c>
    </row>
    <row r="22" spans="3:3" ht="15" customHeight="1" x14ac:dyDescent="0.3">
      <c r="C22" t="s">
        <v>30</v>
      </c>
    </row>
    <row r="23" spans="3:3" ht="15" customHeight="1" x14ac:dyDescent="0.3">
      <c r="C23" t="s">
        <v>64</v>
      </c>
    </row>
    <row r="24" spans="3:3" ht="15" customHeight="1" x14ac:dyDescent="0.3">
      <c r="C24" t="s">
        <v>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Reco</vt:lpstr>
      <vt:lpstr>Summary</vt:lpstr>
      <vt:lpstr>Masters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Pavan Jain</dc:creator>
  <dc:description/>
  <cp:lastModifiedBy>pjsn14</cp:lastModifiedBy>
  <cp:revision>0</cp:revision>
  <dcterms:created xsi:type="dcterms:W3CDTF">2023-08-28T14:23:07Z</dcterms:created>
  <dcterms:modified xsi:type="dcterms:W3CDTF">2026-08-20T10:55:59Z</dcterms:modified>
  <dc:language>en-US</dc:language>
</cp:coreProperties>
</file>